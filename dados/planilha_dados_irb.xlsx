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srjn4\atlas\executivo_estadual\dados\"/>
    </mc:Choice>
  </mc:AlternateContent>
  <xr:revisionPtr revIDLastSave="0" documentId="13_ncr:1_{C42F8A2A-29FE-4AD3-B99D-A79620F8B3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" i="1"/>
</calcChain>
</file>

<file path=xl/sharedStrings.xml><?xml version="1.0" encoding="utf-8"?>
<sst xmlns="http://schemas.openxmlformats.org/spreadsheetml/2006/main" count="103" uniqueCount="76">
  <si>
    <t>uf</t>
  </si>
  <si>
    <t>nome_uf</t>
  </si>
  <si>
    <t>pop_prop_prepar</t>
  </si>
  <si>
    <t>sigla_uf</t>
  </si>
  <si>
    <t>vp_prop_prepar</t>
  </si>
  <si>
    <t>diff</t>
  </si>
  <si>
    <t>sigla_uf_factor</t>
  </si>
  <si>
    <t>11</t>
  </si>
  <si>
    <t>Rondônia</t>
  </si>
  <si>
    <t>RO</t>
  </si>
  <si>
    <t>Acre</t>
  </si>
  <si>
    <t>AC</t>
  </si>
  <si>
    <t>Amazonas</t>
  </si>
  <si>
    <t>AM</t>
  </si>
  <si>
    <t>14</t>
  </si>
  <si>
    <t>Roraima</t>
  </si>
  <si>
    <t>RR</t>
  </si>
  <si>
    <t>15</t>
  </si>
  <si>
    <t>Pará</t>
  </si>
  <si>
    <t>PA</t>
  </si>
  <si>
    <t>16</t>
  </si>
  <si>
    <t>Amapá</t>
  </si>
  <si>
    <t>AP</t>
  </si>
  <si>
    <t>Tocantins</t>
  </si>
  <si>
    <t>TO</t>
  </si>
  <si>
    <t>Maranhão</t>
  </si>
  <si>
    <t>MA</t>
  </si>
  <si>
    <t>Piauí</t>
  </si>
  <si>
    <t>PI</t>
  </si>
  <si>
    <t>23</t>
  </si>
  <si>
    <t>Ceará</t>
  </si>
  <si>
    <t>CE</t>
  </si>
  <si>
    <t>24</t>
  </si>
  <si>
    <t>Rio Grande do Norte</t>
  </si>
  <si>
    <t>RN</t>
  </si>
  <si>
    <t>25</t>
  </si>
  <si>
    <t>Paraíba</t>
  </si>
  <si>
    <t>PB</t>
  </si>
  <si>
    <t>Pernambuco</t>
  </si>
  <si>
    <t>PE</t>
  </si>
  <si>
    <t>27</t>
  </si>
  <si>
    <t>Alagoas</t>
  </si>
  <si>
    <t>AL</t>
  </si>
  <si>
    <t>28</t>
  </si>
  <si>
    <t>Sergipe</t>
  </si>
  <si>
    <t>SE</t>
  </si>
  <si>
    <t>29</t>
  </si>
  <si>
    <t>Bahia</t>
  </si>
  <si>
    <t>BA</t>
  </si>
  <si>
    <t>Minas Gerais</t>
  </si>
  <si>
    <t>MG</t>
  </si>
  <si>
    <t>32</t>
  </si>
  <si>
    <t>Espírito Santo</t>
  </si>
  <si>
    <t>ES</t>
  </si>
  <si>
    <t>Rio de Janeiro</t>
  </si>
  <si>
    <t>RJ</t>
  </si>
  <si>
    <t>São Paulo</t>
  </si>
  <si>
    <t>SP</t>
  </si>
  <si>
    <t>41</t>
  </si>
  <si>
    <t>Paraná</t>
  </si>
  <si>
    <t>PR</t>
  </si>
  <si>
    <t>42</t>
  </si>
  <si>
    <t>Santa Catarina</t>
  </si>
  <si>
    <t>SC</t>
  </si>
  <si>
    <t>43</t>
  </si>
  <si>
    <t>Rio Grande do Sul</t>
  </si>
  <si>
    <t>RS</t>
  </si>
  <si>
    <t>Mato Grosso do Sul</t>
  </si>
  <si>
    <t>MS</t>
  </si>
  <si>
    <t>51</t>
  </si>
  <si>
    <t>Mato Grosso</t>
  </si>
  <si>
    <t>MT</t>
  </si>
  <si>
    <t>Goiás</t>
  </si>
  <si>
    <t>GO</t>
  </si>
  <si>
    <t>Distrito Federal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</si>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</sst>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6" formatCode="_-* #,##0.00000_-;\-* #,##0.00000_-;_-* &quot;-&quot;??_-;_-@_-"/>
    <numFmt numFmtId="170" formatCode="_-* #,##0.00_-;\-* #,##0.00_-;_-* &quot;-&quot;?????_-;_-@_-"/>
    <numFmt numFmtId="173" formatCode="0.0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43" fontId="0" fillId="0" borderId="0" xfId="1" applyNumberFormat="1" applyFont="1"/>
    <xf numFmtId="166" fontId="0" fillId="0" borderId="0" xfId="1" applyNumberFormat="1" applyFont="1"/>
    <xf numFmtId="170" fontId="0" fillId="0" borderId="0" xfId="0" applyNumberFormat="1"/>
    <xf numFmtId="0" fontId="3" fillId="0" borderId="0" xfId="0" applyFont="1"/>
    <xf numFmtId="173" fontId="3" fillId="0" borderId="0" xfId="0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workbookViewId="0">
      <selection activeCell="J13" sqref="J13"/>
    </sheetView>
  </sheetViews>
  <sheetFormatPr defaultRowHeight="15" x14ac:dyDescent="0.25"/>
  <cols>
    <col min="1" max="1" width="3" bestFit="1" customWidth="1"/>
    <col min="2" max="2" width="19" bestFit="1" customWidth="1"/>
    <col min="3" max="3" width="16.28515625" bestFit="1" customWidth="1"/>
    <col min="4" max="4" width="7.85546875" bestFit="1" customWidth="1"/>
    <col min="5" max="5" width="14.85546875" bestFit="1" customWidth="1"/>
    <col min="6" max="6" width="8.5703125" bestFit="1" customWidth="1"/>
    <col min="7" max="7" width="19" bestFit="1" customWidth="1"/>
    <col min="9" max="9" width="20" customWidth="1"/>
    <col min="10" max="10" width="13.85546875" customWidth="1"/>
    <col min="12" max="12" width="11.42578125" customWidth="1"/>
    <col min="14" max="14" width="13.7109375" customWidth="1"/>
    <col min="16" max="16" width="10" bestFit="1" customWidth="1"/>
  </cols>
  <sheetData>
    <row r="1" spans="1:1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16" x14ac:dyDescent="0.25">
      <c r="A2" s="5">
        <v>13</v>
      </c>
      <c r="B2" s="5" t="s">
        <v>12</v>
      </c>
      <c r="C2" s="5">
        <v>79.75</v>
      </c>
      <c r="D2" s="5" t="s">
        <v>28</v>
      </c>
      <c r="E2" s="5">
        <v>78.87</v>
      </c>
      <c r="F2" s="6">
        <f>E2/C2</f>
        <v>0.98896551724137938</v>
      </c>
      <c r="G2" s="5" t="s">
        <v>12</v>
      </c>
      <c r="I2" s="1"/>
      <c r="J2" s="3"/>
      <c r="N2" s="2"/>
      <c r="P2" s="4"/>
    </row>
    <row r="3" spans="1:16" x14ac:dyDescent="0.25">
      <c r="A3" s="5">
        <v>22</v>
      </c>
      <c r="B3" s="5" t="s">
        <v>27</v>
      </c>
      <c r="C3" s="5">
        <v>78.61</v>
      </c>
      <c r="D3" s="5" t="s">
        <v>13</v>
      </c>
      <c r="E3" s="5">
        <v>76.27</v>
      </c>
      <c r="F3" s="6">
        <f t="shared" ref="F3:F28" si="0">E3/C3</f>
        <v>0.97023279480982061</v>
      </c>
      <c r="G3" s="5" t="s">
        <v>27</v>
      </c>
      <c r="I3" s="1"/>
      <c r="J3" s="3"/>
      <c r="N3" s="2"/>
      <c r="P3" s="4"/>
    </row>
    <row r="4" spans="1:16" x14ac:dyDescent="0.25">
      <c r="A4" s="5" t="s">
        <v>46</v>
      </c>
      <c r="B4" s="5" t="s">
        <v>47</v>
      </c>
      <c r="C4" s="5">
        <v>80.55</v>
      </c>
      <c r="D4" s="5" t="s">
        <v>48</v>
      </c>
      <c r="E4" s="5">
        <v>77.34</v>
      </c>
      <c r="F4" s="6">
        <f t="shared" si="0"/>
        <v>0.96014897579143399</v>
      </c>
      <c r="G4" s="5" t="s">
        <v>47</v>
      </c>
      <c r="J4" s="3"/>
      <c r="N4" s="2"/>
      <c r="P4" s="4"/>
    </row>
    <row r="5" spans="1:16" x14ac:dyDescent="0.25">
      <c r="A5" s="5" t="s">
        <v>17</v>
      </c>
      <c r="B5" s="5" t="s">
        <v>18</v>
      </c>
      <c r="C5" s="5">
        <v>81.63</v>
      </c>
      <c r="D5" s="5" t="s">
        <v>19</v>
      </c>
      <c r="E5" s="5">
        <v>78.36</v>
      </c>
      <c r="F5" s="6">
        <f t="shared" si="0"/>
        <v>0.95994119808893796</v>
      </c>
      <c r="G5" s="5" t="s">
        <v>18</v>
      </c>
      <c r="J5" s="3"/>
      <c r="N5" s="2"/>
      <c r="P5" s="4"/>
    </row>
    <row r="6" spans="1:16" x14ac:dyDescent="0.25">
      <c r="A6" s="5" t="s">
        <v>43</v>
      </c>
      <c r="B6" s="5" t="s">
        <v>44</v>
      </c>
      <c r="C6" s="5">
        <v>75.11</v>
      </c>
      <c r="D6" s="5" t="s">
        <v>45</v>
      </c>
      <c r="E6" s="5">
        <v>70.599999999999994</v>
      </c>
      <c r="F6" s="6">
        <f t="shared" si="0"/>
        <v>0.93995473305818122</v>
      </c>
      <c r="G6" s="5" t="s">
        <v>44</v>
      </c>
      <c r="J6" s="3"/>
      <c r="N6" s="2"/>
      <c r="P6" s="4"/>
    </row>
    <row r="7" spans="1:16" x14ac:dyDescent="0.25">
      <c r="A7" s="5" t="s">
        <v>7</v>
      </c>
      <c r="B7" s="5" t="s">
        <v>8</v>
      </c>
      <c r="C7" s="5">
        <v>69.180000000000007</v>
      </c>
      <c r="D7" s="5" t="s">
        <v>9</v>
      </c>
      <c r="E7" s="5">
        <v>60.18</v>
      </c>
      <c r="F7" s="6">
        <f t="shared" si="0"/>
        <v>0.86990459670424969</v>
      </c>
      <c r="G7" s="5" t="s">
        <v>8</v>
      </c>
      <c r="J7" s="3"/>
      <c r="N7" s="2"/>
      <c r="P7" s="4"/>
    </row>
    <row r="8" spans="1:16" x14ac:dyDescent="0.25">
      <c r="A8" s="5" t="s">
        <v>14</v>
      </c>
      <c r="B8" s="5" t="s">
        <v>15</v>
      </c>
      <c r="C8" s="5">
        <v>73.83</v>
      </c>
      <c r="D8" s="5" t="s">
        <v>16</v>
      </c>
      <c r="E8" s="5">
        <v>63.49</v>
      </c>
      <c r="F8" s="6">
        <f t="shared" si="0"/>
        <v>0.85994853040769337</v>
      </c>
      <c r="G8" s="5" t="s">
        <v>15</v>
      </c>
      <c r="J8" s="3"/>
      <c r="N8" s="2"/>
      <c r="P8" s="4"/>
    </row>
    <row r="9" spans="1:16" x14ac:dyDescent="0.25">
      <c r="A9" s="5" t="s">
        <v>69</v>
      </c>
      <c r="B9" s="5" t="s">
        <v>70</v>
      </c>
      <c r="C9" s="5">
        <v>68.599999999999994</v>
      </c>
      <c r="D9" s="5" t="s">
        <v>71</v>
      </c>
      <c r="E9" s="5">
        <v>52.82</v>
      </c>
      <c r="F9" s="6">
        <f t="shared" si="0"/>
        <v>0.76997084548104966</v>
      </c>
      <c r="G9" s="5" t="s">
        <v>70</v>
      </c>
      <c r="J9" s="3"/>
      <c r="N9" s="2"/>
      <c r="P9" s="4"/>
    </row>
    <row r="10" spans="1:16" x14ac:dyDescent="0.25">
      <c r="A10" s="5" t="s">
        <v>20</v>
      </c>
      <c r="B10" s="5" t="s">
        <v>21</v>
      </c>
      <c r="C10" s="5">
        <v>81.02</v>
      </c>
      <c r="D10" s="5" t="s">
        <v>22</v>
      </c>
      <c r="E10" s="5">
        <v>60.76</v>
      </c>
      <c r="F10" s="6">
        <f t="shared" si="0"/>
        <v>0.74993828684275488</v>
      </c>
      <c r="G10" s="5" t="s">
        <v>21</v>
      </c>
      <c r="J10" s="3"/>
      <c r="N10" s="2"/>
      <c r="P10" s="4"/>
    </row>
    <row r="11" spans="1:16" x14ac:dyDescent="0.25">
      <c r="A11" s="5" t="s">
        <v>40</v>
      </c>
      <c r="B11" s="5" t="s">
        <v>41</v>
      </c>
      <c r="C11" s="5">
        <v>72.319999999999993</v>
      </c>
      <c r="D11" s="5" t="s">
        <v>42</v>
      </c>
      <c r="E11" s="5">
        <v>51.34</v>
      </c>
      <c r="F11" s="6">
        <f t="shared" si="0"/>
        <v>0.7099004424778762</v>
      </c>
      <c r="G11" s="5" t="s">
        <v>41</v>
      </c>
      <c r="J11" s="3"/>
      <c r="N11" s="2"/>
      <c r="P11" s="4"/>
    </row>
    <row r="12" spans="1:16" x14ac:dyDescent="0.25">
      <c r="A12" s="5" t="s">
        <v>32</v>
      </c>
      <c r="B12" s="5" t="s">
        <v>33</v>
      </c>
      <c r="C12" s="5">
        <v>63.76</v>
      </c>
      <c r="D12" s="5" t="s">
        <v>34</v>
      </c>
      <c r="E12" s="5">
        <v>43.35</v>
      </c>
      <c r="F12" s="6">
        <f t="shared" si="0"/>
        <v>0.67989335006273532</v>
      </c>
      <c r="G12" s="5" t="s">
        <v>33</v>
      </c>
      <c r="J12" s="3"/>
      <c r="N12" s="2"/>
      <c r="P12" s="4"/>
    </row>
    <row r="13" spans="1:16" x14ac:dyDescent="0.25">
      <c r="A13" s="5" t="s">
        <v>51</v>
      </c>
      <c r="B13" s="5" t="s">
        <v>52</v>
      </c>
      <c r="C13" s="5">
        <v>62.27</v>
      </c>
      <c r="D13" s="5" t="s">
        <v>53</v>
      </c>
      <c r="E13" s="5">
        <v>39.229999999999997</v>
      </c>
      <c r="F13" s="6">
        <f t="shared" si="0"/>
        <v>0.62999839409025205</v>
      </c>
      <c r="G13" s="5" t="s">
        <v>52</v>
      </c>
      <c r="J13" s="3"/>
      <c r="N13" s="2"/>
      <c r="P13" s="4"/>
    </row>
    <row r="14" spans="1:16" x14ac:dyDescent="0.25">
      <c r="A14" s="5">
        <v>50</v>
      </c>
      <c r="B14" s="5" t="s">
        <v>67</v>
      </c>
      <c r="C14" s="5">
        <v>55.91</v>
      </c>
      <c r="D14" s="5" t="s">
        <v>68</v>
      </c>
      <c r="E14" s="5">
        <v>34.1</v>
      </c>
      <c r="F14" s="6">
        <f t="shared" si="0"/>
        <v>0.60990878197102494</v>
      </c>
      <c r="G14" s="5" t="s">
        <v>67</v>
      </c>
      <c r="I14" s="1"/>
      <c r="J14" s="3"/>
      <c r="N14" s="2"/>
      <c r="P14" s="4"/>
    </row>
    <row r="15" spans="1:16" x14ac:dyDescent="0.25">
      <c r="A15" s="5">
        <v>17</v>
      </c>
      <c r="B15" s="5" t="s">
        <v>23</v>
      </c>
      <c r="C15" s="5">
        <v>77.12</v>
      </c>
      <c r="D15" s="5" t="s">
        <v>24</v>
      </c>
      <c r="E15" s="5">
        <v>46.27</v>
      </c>
      <c r="F15" s="6">
        <f t="shared" si="0"/>
        <v>0.59997406639004147</v>
      </c>
      <c r="G15" s="5" t="s">
        <v>23</v>
      </c>
      <c r="I15" s="1"/>
      <c r="J15" s="3"/>
      <c r="N15" s="2"/>
      <c r="P15" s="4"/>
    </row>
    <row r="16" spans="1:16" x14ac:dyDescent="0.25">
      <c r="A16" s="5">
        <v>52</v>
      </c>
      <c r="B16" s="5" t="s">
        <v>72</v>
      </c>
      <c r="C16" s="5">
        <v>65.09</v>
      </c>
      <c r="D16" s="5" t="s">
        <v>73</v>
      </c>
      <c r="E16" s="5">
        <v>38.4</v>
      </c>
      <c r="F16" s="6">
        <f t="shared" si="0"/>
        <v>0.58995237363650321</v>
      </c>
      <c r="G16" s="5" t="s">
        <v>72</v>
      </c>
      <c r="I16" s="1"/>
      <c r="J16" s="3"/>
      <c r="N16" s="2"/>
      <c r="P16" s="4"/>
    </row>
    <row r="17" spans="1:16" x14ac:dyDescent="0.25">
      <c r="A17" s="5">
        <v>31</v>
      </c>
      <c r="B17" s="5" t="s">
        <v>49</v>
      </c>
      <c r="C17" s="5">
        <v>58.89</v>
      </c>
      <c r="D17" s="5" t="s">
        <v>50</v>
      </c>
      <c r="E17" s="5">
        <v>32.78</v>
      </c>
      <c r="F17" s="6">
        <f t="shared" si="0"/>
        <v>0.55663100696213286</v>
      </c>
      <c r="G17" s="5" t="s">
        <v>49</v>
      </c>
      <c r="I17" s="1"/>
      <c r="J17" s="3"/>
      <c r="N17" s="2"/>
      <c r="P17" s="4"/>
    </row>
    <row r="18" spans="1:16" x14ac:dyDescent="0.25">
      <c r="A18" s="5">
        <v>12</v>
      </c>
      <c r="B18" s="5" t="s">
        <v>10</v>
      </c>
      <c r="C18" s="5">
        <v>80.599999999999994</v>
      </c>
      <c r="D18" s="5" t="s">
        <v>11</v>
      </c>
      <c r="E18" s="5">
        <v>44.37</v>
      </c>
      <c r="F18" s="6">
        <f t="shared" si="0"/>
        <v>0.55049627791563271</v>
      </c>
      <c r="G18" s="5" t="s">
        <v>10</v>
      </c>
      <c r="I18" s="1"/>
      <c r="J18" s="3"/>
      <c r="N18" s="2"/>
      <c r="P18" s="4"/>
    </row>
    <row r="19" spans="1:16" x14ac:dyDescent="0.25">
      <c r="A19" s="5" t="s">
        <v>35</v>
      </c>
      <c r="B19" s="5" t="s">
        <v>36</v>
      </c>
      <c r="C19" s="5">
        <v>67.56</v>
      </c>
      <c r="D19" s="5" t="s">
        <v>37</v>
      </c>
      <c r="E19" s="5">
        <v>35.130000000000003</v>
      </c>
      <c r="F19" s="6">
        <f t="shared" si="0"/>
        <v>0.51998223801065724</v>
      </c>
      <c r="G19" s="5" t="s">
        <v>36</v>
      </c>
      <c r="J19" s="3"/>
      <c r="N19" s="2"/>
      <c r="P19" s="4"/>
    </row>
    <row r="20" spans="1:16" x14ac:dyDescent="0.25">
      <c r="A20" s="5">
        <v>33</v>
      </c>
      <c r="B20" s="5" t="s">
        <v>54</v>
      </c>
      <c r="C20" s="5">
        <v>53.78</v>
      </c>
      <c r="D20" s="5" t="s">
        <v>55</v>
      </c>
      <c r="E20" s="5">
        <v>26.94</v>
      </c>
      <c r="F20" s="6">
        <f t="shared" si="0"/>
        <v>0.50092971364819638</v>
      </c>
      <c r="G20" s="5" t="s">
        <v>54</v>
      </c>
      <c r="I20" s="1"/>
      <c r="J20" s="3"/>
      <c r="N20" s="2"/>
      <c r="P20" s="4"/>
    </row>
    <row r="21" spans="1:16" x14ac:dyDescent="0.25">
      <c r="A21" s="5">
        <v>26</v>
      </c>
      <c r="B21" s="5" t="s">
        <v>38</v>
      </c>
      <c r="C21" s="5">
        <v>64.94</v>
      </c>
      <c r="D21" s="5" t="s">
        <v>39</v>
      </c>
      <c r="E21" s="5">
        <v>32.14</v>
      </c>
      <c r="F21" s="6">
        <f t="shared" si="0"/>
        <v>0.49491838620264861</v>
      </c>
      <c r="G21" s="5" t="s">
        <v>38</v>
      </c>
      <c r="I21" s="1"/>
      <c r="J21" s="3"/>
      <c r="N21" s="2"/>
      <c r="P21" s="4"/>
    </row>
    <row r="22" spans="1:16" x14ac:dyDescent="0.25">
      <c r="A22" s="5" t="s">
        <v>64</v>
      </c>
      <c r="B22" s="5" t="s">
        <v>65</v>
      </c>
      <c r="C22" s="5">
        <v>20.99</v>
      </c>
      <c r="D22" s="5" t="s">
        <v>66</v>
      </c>
      <c r="E22" s="5">
        <v>10.07</v>
      </c>
      <c r="F22" s="6">
        <f t="shared" si="0"/>
        <v>0.47975226298237261</v>
      </c>
      <c r="G22" s="5" t="s">
        <v>65</v>
      </c>
      <c r="J22" s="3"/>
      <c r="N22" s="2"/>
      <c r="P22" s="4"/>
    </row>
    <row r="23" spans="1:16" x14ac:dyDescent="0.25">
      <c r="A23" s="5">
        <v>53</v>
      </c>
      <c r="B23" s="5" t="s">
        <v>74</v>
      </c>
      <c r="C23" s="5">
        <v>62.23</v>
      </c>
      <c r="D23" s="5" t="s">
        <v>75</v>
      </c>
      <c r="E23" s="5">
        <v>29.24</v>
      </c>
      <c r="F23" s="6">
        <f t="shared" si="0"/>
        <v>0.46986983769885909</v>
      </c>
      <c r="G23" s="5" t="s">
        <v>74</v>
      </c>
      <c r="I23" s="1"/>
      <c r="J23" s="3"/>
      <c r="N23" s="2"/>
      <c r="P23" s="4"/>
    </row>
    <row r="24" spans="1:16" x14ac:dyDescent="0.25">
      <c r="A24" s="5">
        <v>35</v>
      </c>
      <c r="B24" s="5" t="s">
        <v>56</v>
      </c>
      <c r="C24" s="5">
        <v>41.52</v>
      </c>
      <c r="D24" s="5" t="s">
        <v>57</v>
      </c>
      <c r="E24" s="5">
        <v>18.68</v>
      </c>
      <c r="F24" s="6">
        <f t="shared" si="0"/>
        <v>0.44990366088631978</v>
      </c>
      <c r="G24" s="5" t="s">
        <v>56</v>
      </c>
      <c r="I24" s="1"/>
      <c r="J24" s="3"/>
      <c r="N24" s="2"/>
      <c r="P24" s="4"/>
    </row>
    <row r="25" spans="1:16" x14ac:dyDescent="0.25">
      <c r="A25" s="5">
        <v>21</v>
      </c>
      <c r="B25" s="5" t="s">
        <v>25</v>
      </c>
      <c r="C25" s="5">
        <v>80.7</v>
      </c>
      <c r="D25" s="5" t="s">
        <v>26</v>
      </c>
      <c r="E25" s="5">
        <v>35.5</v>
      </c>
      <c r="F25" s="6">
        <f t="shared" si="0"/>
        <v>0.4399008674101611</v>
      </c>
      <c r="G25" s="5" t="s">
        <v>25</v>
      </c>
      <c r="I25" s="1"/>
      <c r="J25" s="3"/>
      <c r="N25" s="2"/>
      <c r="P25" s="4"/>
    </row>
    <row r="26" spans="1:16" x14ac:dyDescent="0.25">
      <c r="A26" s="5" t="s">
        <v>61</v>
      </c>
      <c r="B26" s="5" t="s">
        <v>62</v>
      </c>
      <c r="C26" s="5">
        <v>21.15</v>
      </c>
      <c r="D26" s="5" t="s">
        <v>63</v>
      </c>
      <c r="E26" s="5">
        <v>6.55</v>
      </c>
      <c r="F26" s="6">
        <f t="shared" si="0"/>
        <v>0.30969267139479906</v>
      </c>
      <c r="G26" s="5" t="s">
        <v>62</v>
      </c>
      <c r="J26" s="3"/>
      <c r="N26" s="2"/>
      <c r="P26" s="4"/>
    </row>
    <row r="27" spans="1:16" x14ac:dyDescent="0.25">
      <c r="A27" s="5" t="s">
        <v>29</v>
      </c>
      <c r="B27" s="5" t="s">
        <v>30</v>
      </c>
      <c r="C27" s="5">
        <v>72.680000000000007</v>
      </c>
      <c r="D27" s="5" t="s">
        <v>31</v>
      </c>
      <c r="E27" s="5">
        <v>20.350000000000001</v>
      </c>
      <c r="F27" s="6">
        <f t="shared" si="0"/>
        <v>0.27999449642267471</v>
      </c>
      <c r="G27" s="5" t="s">
        <v>30</v>
      </c>
      <c r="J27" s="3"/>
      <c r="N27" s="2"/>
      <c r="P27" s="4"/>
    </row>
    <row r="28" spans="1:16" x14ac:dyDescent="0.25">
      <c r="A28" s="5" t="s">
        <v>58</v>
      </c>
      <c r="B28" s="5" t="s">
        <v>59</v>
      </c>
      <c r="C28" s="5">
        <v>35.15</v>
      </c>
      <c r="D28" s="5" t="s">
        <v>60</v>
      </c>
      <c r="E28" s="5">
        <v>8.7799999999999994</v>
      </c>
      <c r="F28" s="6">
        <f t="shared" si="0"/>
        <v>0.24978662873399715</v>
      </c>
      <c r="G28" s="5" t="s">
        <v>59</v>
      </c>
      <c r="J28" s="3"/>
      <c r="N28" s="2"/>
      <c r="P28" s="4"/>
    </row>
  </sheetData>
  <sortState xmlns:xlrd2="http://schemas.microsoft.com/office/spreadsheetml/2017/richdata2" ref="A2:G28">
    <sortCondition descending="1" ref="F1:F28"/>
  </sortState>
  <printOptions gridLines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B15048941705</dc:creator>
  <cp:lastModifiedBy>Marcson de Azevedo Araújo</cp:lastModifiedBy>
  <dcterms:created xsi:type="dcterms:W3CDTF">2025-11-24T03:50:48Z</dcterms:created>
  <dcterms:modified xsi:type="dcterms:W3CDTF">2025-11-24T04:24:59Z</dcterms:modified>
</cp:coreProperties>
</file>