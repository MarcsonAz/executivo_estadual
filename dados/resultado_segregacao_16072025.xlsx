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srjn4\atlas\executivo_estadual\dados\"/>
    </mc:Choice>
  </mc:AlternateContent>
  <xr:revisionPtr revIDLastSave="0" documentId="13_ncr:1_{697654CB-E021-4B48-AA36-604D41982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1'!$U$44:$Y$66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47" i="1"/>
  <c r="AC47" i="1"/>
  <c r="AC46" i="1"/>
  <c r="AD33" i="1"/>
  <c r="AD32" i="1"/>
  <c r="AD35" i="1" s="1"/>
  <c r="W33" i="1"/>
  <c r="W32" i="1"/>
  <c r="W35" i="1" s="1"/>
  <c r="AC49" i="1" l="1"/>
</calcChain>
</file>

<file path=xl/sharedStrings.xml><?xml version="1.0" encoding="utf-8"?>
<sst xmlns="http://schemas.openxmlformats.org/spreadsheetml/2006/main" count="194" uniqueCount="59">
  <si>
    <t>ano</t>
  </si>
  <si>
    <t>variavel</t>
  </si>
  <si>
    <t>m_</t>
  </si>
  <si>
    <t>h_</t>
  </si>
  <si>
    <t>d_</t>
  </si>
  <si>
    <t>SEXO</t>
  </si>
  <si>
    <t>COR</t>
  </si>
  <si>
    <t>COR_SEXO</t>
  </si>
  <si>
    <t>ANOS</t>
  </si>
  <si>
    <t>INDICADOR</t>
  </si>
  <si>
    <t>GRUPO</t>
  </si>
  <si>
    <t>Dissimilaridade</t>
  </si>
  <si>
    <t>Informação Mútua Normalizada</t>
  </si>
  <si>
    <t>Sexo</t>
  </si>
  <si>
    <t>Cor</t>
  </si>
  <si>
    <t>Sexo e Cor</t>
  </si>
  <si>
    <t>UF - 2021 - sexo </t>
  </si>
  <si>
    <t>uf</t>
  </si>
  <si>
    <t>UF</t>
  </si>
  <si>
    <t>-</t>
  </si>
  <si>
    <t>cor</t>
  </si>
  <si>
    <t>(Preta</t>
  </si>
  <si>
    <t>ou</t>
  </si>
  <si>
    <t>Parda</t>
  </si>
  <si>
    <t>x</t>
  </si>
  <si>
    <t>Não</t>
  </si>
  <si>
    <t>Preta</t>
  </si>
  <si>
    <t>Parda)</t>
  </si>
  <si>
    <t>dp</t>
  </si>
  <si>
    <t>media</t>
  </si>
  <si>
    <t>cv</t>
  </si>
  <si>
    <t>e</t>
  </si>
  <si>
    <t>(Homem</t>
  </si>
  <si>
    <t>Homem</t>
  </si>
  <si>
    <t>Mulher</t>
  </si>
  <si>
    <t>Rio Grande do Sul</t>
  </si>
  <si>
    <t>Sergipe</t>
  </si>
  <si>
    <t>Minas Gerais</t>
  </si>
  <si>
    <t>Paraná</t>
  </si>
  <si>
    <t>Espírito Santo</t>
  </si>
  <si>
    <t>São Paulo</t>
  </si>
  <si>
    <t>Goiás</t>
  </si>
  <si>
    <t>Piauí</t>
  </si>
  <si>
    <t>Santa Catarina</t>
  </si>
  <si>
    <t>Pará</t>
  </si>
  <si>
    <t>Pernambuco</t>
  </si>
  <si>
    <t>Distrito Federal</t>
  </si>
  <si>
    <t>Acre</t>
  </si>
  <si>
    <t>Amazonas</t>
  </si>
  <si>
    <t>Rio de Janeiro</t>
  </si>
  <si>
    <t>Alagoas</t>
  </si>
  <si>
    <t>Rio Grande do Norte</t>
  </si>
  <si>
    <t>Tocantins</t>
  </si>
  <si>
    <t>Paraíba</t>
  </si>
  <si>
    <t>Mato Grosso do Sul</t>
  </si>
  <si>
    <t>Bahia</t>
  </si>
  <si>
    <t>Roraima</t>
  </si>
  <si>
    <t>Tabela 5 - TD</t>
  </si>
  <si>
    <t>Tabela 6 -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</si>
</sst>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2" xfId="0" applyBorder="1"/>
    <xf numFmtId="9" fontId="0" fillId="0" borderId="0" xfId="2" applyFont="1"/>
    <xf numFmtId="43" fontId="0" fillId="0" borderId="0" xfId="1" applyFont="1"/>
    <xf numFmtId="0" fontId="2" fillId="0" borderId="2" xfId="0" applyFont="1" applyBorder="1"/>
    <xf numFmtId="0" fontId="2" fillId="0" borderId="4" xfId="0" applyFont="1" applyBorder="1"/>
    <xf numFmtId="43" fontId="2" fillId="0" borderId="4" xfId="1" applyFont="1" applyBorder="1"/>
    <xf numFmtId="43" fontId="2" fillId="0" borderId="3" xfId="1" applyFont="1" applyBorder="1"/>
    <xf numFmtId="0" fontId="2" fillId="0" borderId="1" xfId="0" applyFont="1" applyBorder="1"/>
    <xf numFmtId="43" fontId="2" fillId="0" borderId="1" xfId="1" applyFont="1" applyBorder="1"/>
    <xf numFmtId="0" fontId="4" fillId="0" borderId="0" xfId="0" applyFont="1" applyAlignment="1">
      <alignment horizontal="justify" vertical="center"/>
    </xf>
    <xf numFmtId="0" fontId="4" fillId="0" borderId="0" xfId="0" applyFont="1"/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1'!$Y$5</c:f>
              <c:strCache>
                <c:ptCount val="1"/>
                <c:pt idx="0">
                  <c:v>d_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 1'!$U$6:$U$27</c:f>
              <c:numCache>
                <c:formatCode>General</c:formatCode>
                <c:ptCount val="22"/>
                <c:pt idx="0">
                  <c:v>43</c:v>
                </c:pt>
                <c:pt idx="1">
                  <c:v>28</c:v>
                </c:pt>
                <c:pt idx="2">
                  <c:v>31</c:v>
                </c:pt>
                <c:pt idx="3">
                  <c:v>41</c:v>
                </c:pt>
                <c:pt idx="4">
                  <c:v>32</c:v>
                </c:pt>
                <c:pt idx="5">
                  <c:v>35</c:v>
                </c:pt>
                <c:pt idx="6">
                  <c:v>52</c:v>
                </c:pt>
                <c:pt idx="7">
                  <c:v>22</c:v>
                </c:pt>
                <c:pt idx="8">
                  <c:v>42</c:v>
                </c:pt>
                <c:pt idx="9">
                  <c:v>15</c:v>
                </c:pt>
                <c:pt idx="10">
                  <c:v>26</c:v>
                </c:pt>
                <c:pt idx="11">
                  <c:v>53</c:v>
                </c:pt>
                <c:pt idx="12">
                  <c:v>12</c:v>
                </c:pt>
                <c:pt idx="13">
                  <c:v>13</c:v>
                </c:pt>
                <c:pt idx="14">
                  <c:v>33</c:v>
                </c:pt>
                <c:pt idx="15">
                  <c:v>27</c:v>
                </c:pt>
                <c:pt idx="16">
                  <c:v>24</c:v>
                </c:pt>
                <c:pt idx="17">
                  <c:v>17</c:v>
                </c:pt>
                <c:pt idx="18">
                  <c:v>25</c:v>
                </c:pt>
                <c:pt idx="19">
                  <c:v>50</c:v>
                </c:pt>
                <c:pt idx="20">
                  <c:v>29</c:v>
                </c:pt>
                <c:pt idx="21">
                  <c:v>14</c:v>
                </c:pt>
              </c:numCache>
            </c:numRef>
          </c:cat>
          <c:val>
            <c:numRef>
              <c:f>'Sheet 1'!$Y$6:$Y$27</c:f>
              <c:numCache>
                <c:formatCode>General</c:formatCode>
                <c:ptCount val="22"/>
                <c:pt idx="0">
                  <c:v>0.52231000000000005</c:v>
                </c:pt>
                <c:pt idx="1">
                  <c:v>0.50292599999999998</c:v>
                </c:pt>
                <c:pt idx="2">
                  <c:v>0.50032200000000004</c:v>
                </c:pt>
                <c:pt idx="3">
                  <c:v>0.49864199999999997</c:v>
                </c:pt>
                <c:pt idx="4">
                  <c:v>0.480466</c:v>
                </c:pt>
                <c:pt idx="5">
                  <c:v>0.454596</c:v>
                </c:pt>
                <c:pt idx="6">
                  <c:v>0.44780399999999998</c:v>
                </c:pt>
                <c:pt idx="7">
                  <c:v>0.43605300000000002</c:v>
                </c:pt>
                <c:pt idx="8">
                  <c:v>0.42968899999999999</c:v>
                </c:pt>
                <c:pt idx="9">
                  <c:v>0.41536000000000001</c:v>
                </c:pt>
                <c:pt idx="10">
                  <c:v>0.411354</c:v>
                </c:pt>
                <c:pt idx="11">
                  <c:v>0.391237</c:v>
                </c:pt>
                <c:pt idx="12">
                  <c:v>0.39116400000000001</c:v>
                </c:pt>
                <c:pt idx="13">
                  <c:v>0.36332199999999998</c:v>
                </c:pt>
                <c:pt idx="14">
                  <c:v>0.35879499999999998</c:v>
                </c:pt>
                <c:pt idx="15">
                  <c:v>0.34983300000000001</c:v>
                </c:pt>
                <c:pt idx="16">
                  <c:v>0.33472800000000003</c:v>
                </c:pt>
                <c:pt idx="17">
                  <c:v>0.30746600000000002</c:v>
                </c:pt>
                <c:pt idx="18">
                  <c:v>0.27388600000000002</c:v>
                </c:pt>
                <c:pt idx="19">
                  <c:v>0.24219199999999999</c:v>
                </c:pt>
                <c:pt idx="20">
                  <c:v>0.23355799999999999</c:v>
                </c:pt>
                <c:pt idx="21">
                  <c:v>4.0723000000000002E-2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B-4966-AFCA-381001081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790735"/>
        <c:axId val="1657791695"/>
      </c:barChart>
      <c:catAx>
        <c:axId val="16577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791695"/>
        <c:crosses val="autoZero"/>
        <c:auto val="1"/>
        <c:lblAlgn val="ctr"/>
        <c:lblOffset val="100"/>
        <c:noMultiLvlLbl val="0"/>
      </c:catAx>
      <c:valAx>
        <c:axId val="16577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79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 1'!$W$45:$W$66</c:f>
              <c:numCache>
                <c:formatCode>General</c:formatCode>
                <c:ptCount val="22"/>
                <c:pt idx="0">
                  <c:v>41</c:v>
                </c:pt>
                <c:pt idx="1">
                  <c:v>43</c:v>
                </c:pt>
                <c:pt idx="2">
                  <c:v>28</c:v>
                </c:pt>
                <c:pt idx="3">
                  <c:v>12</c:v>
                </c:pt>
                <c:pt idx="4">
                  <c:v>22</c:v>
                </c:pt>
                <c:pt idx="5">
                  <c:v>42</c:v>
                </c:pt>
                <c:pt idx="6">
                  <c:v>32</c:v>
                </c:pt>
                <c:pt idx="7">
                  <c:v>31</c:v>
                </c:pt>
                <c:pt idx="8">
                  <c:v>15</c:v>
                </c:pt>
                <c:pt idx="9">
                  <c:v>26</c:v>
                </c:pt>
                <c:pt idx="10">
                  <c:v>35</c:v>
                </c:pt>
                <c:pt idx="11">
                  <c:v>52</c:v>
                </c:pt>
                <c:pt idx="12">
                  <c:v>17</c:v>
                </c:pt>
                <c:pt idx="13">
                  <c:v>13</c:v>
                </c:pt>
                <c:pt idx="14">
                  <c:v>53</c:v>
                </c:pt>
                <c:pt idx="15">
                  <c:v>33</c:v>
                </c:pt>
                <c:pt idx="16">
                  <c:v>24</c:v>
                </c:pt>
                <c:pt idx="17">
                  <c:v>25</c:v>
                </c:pt>
                <c:pt idx="18">
                  <c:v>27</c:v>
                </c:pt>
                <c:pt idx="19">
                  <c:v>29</c:v>
                </c:pt>
                <c:pt idx="20">
                  <c:v>50</c:v>
                </c:pt>
                <c:pt idx="21">
                  <c:v>14</c:v>
                </c:pt>
              </c:numCache>
            </c:numRef>
          </c:cat>
          <c:val>
            <c:numRef>
              <c:f>'Sheet 1'!$Y$45:$Y$66</c:f>
              <c:numCache>
                <c:formatCode>_(* #,##0.00_);_(* \(#,##0.00\);_(* "-"??_);_(@_)</c:formatCode>
                <c:ptCount val="22"/>
                <c:pt idx="0">
                  <c:v>0.19701099999999999</c:v>
                </c:pt>
                <c:pt idx="1">
                  <c:v>0.186999</c:v>
                </c:pt>
                <c:pt idx="2">
                  <c:v>0.165687</c:v>
                </c:pt>
                <c:pt idx="3">
                  <c:v>0.160853</c:v>
                </c:pt>
                <c:pt idx="4">
                  <c:v>0.15620899999999999</c:v>
                </c:pt>
                <c:pt idx="5">
                  <c:v>0.15438299999999999</c:v>
                </c:pt>
                <c:pt idx="6">
                  <c:v>0.14701800000000001</c:v>
                </c:pt>
                <c:pt idx="7">
                  <c:v>0.141848</c:v>
                </c:pt>
                <c:pt idx="8">
                  <c:v>0.13721700000000001</c:v>
                </c:pt>
                <c:pt idx="9">
                  <c:v>0.133829</c:v>
                </c:pt>
                <c:pt idx="10">
                  <c:v>0.13373199999999999</c:v>
                </c:pt>
                <c:pt idx="11">
                  <c:v>0.12986600000000001</c:v>
                </c:pt>
                <c:pt idx="12">
                  <c:v>0.11887200000000001</c:v>
                </c:pt>
                <c:pt idx="13">
                  <c:v>0.116697</c:v>
                </c:pt>
                <c:pt idx="14">
                  <c:v>0.11360199999999999</c:v>
                </c:pt>
                <c:pt idx="15">
                  <c:v>0.10137599999999999</c:v>
                </c:pt>
                <c:pt idx="16">
                  <c:v>9.8198999999999995E-2</c:v>
                </c:pt>
                <c:pt idx="17">
                  <c:v>8.3837999999999996E-2</c:v>
                </c:pt>
                <c:pt idx="18">
                  <c:v>7.8381999999999993E-2</c:v>
                </c:pt>
                <c:pt idx="19">
                  <c:v>6.9953000000000001E-2</c:v>
                </c:pt>
                <c:pt idx="20">
                  <c:v>6.6692000000000001E-2</c:v>
                </c:pt>
                <c:pt idx="21">
                  <c:v>9.4529999999999996E-3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5-4194-8B0A-005BFCF9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059823"/>
        <c:axId val="1939061743"/>
      </c:barChart>
      <c:catAx>
        <c:axId val="19390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9061743"/>
        <c:crosses val="autoZero"/>
        <c:auto val="1"/>
        <c:lblAlgn val="ctr"/>
        <c:lblOffset val="100"/>
        <c:noMultiLvlLbl val="0"/>
      </c:catAx>
      <c:valAx>
        <c:axId val="193906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905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2409825</xdr:colOff>
      <xdr:row>9</xdr:row>
      <xdr:rowOff>104775</xdr:rowOff>
    </xdr:from>
    <xdr:to>
      <xdr:col>19</xdr:col>
      <xdr:colOff>2647950</xdr:colOff>
      <xdr:row>30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A57B30-AD99-4BAA-C888-CBB888D7F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40</xdr:row>
      <xdr:rowOff>128587</xdr:rowOff>
    </xdr:from>
    <xdr:to>
      <xdr:col>19</xdr:col>
      <xdr:colOff>1114425</xdr:colOff>
      <xdr:row>55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7F3407-433D-64E7-5283-5ED4410DD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8"/>
  <sheetViews>
    <sheetView tabSelected="1" topLeftCell="A13" workbookViewId="0">
      <selection activeCell="K23" sqref="K23"/>
    </sheetView>
  </sheetViews>
  <sheetFormatPr defaultRowHeight="15" x14ac:dyDescent="0.25"/>
  <cols>
    <col min="2" max="2" width="16.7109375" customWidth="1"/>
    <col min="11" max="11" width="36.7109375" bestFit="1" customWidth="1"/>
    <col min="12" max="12" width="13" bestFit="1" customWidth="1"/>
    <col min="13" max="17" width="11.28515625" customWidth="1"/>
    <col min="20" max="20" width="41" bestFit="1" customWidth="1"/>
    <col min="23" max="23" width="9.5703125" bestFit="1" customWidth="1"/>
    <col min="26" max="26" width="17.140625" customWidth="1"/>
    <col min="29" max="29" width="9.5703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0" ht="15.75" thickBot="1" x14ac:dyDescent="0.3">
      <c r="A2">
        <v>1985</v>
      </c>
      <c r="B2" t="s">
        <v>5</v>
      </c>
      <c r="C2" s="3">
        <v>0.18991182860274</v>
      </c>
      <c r="D2" s="3">
        <v>0.27398655868310401</v>
      </c>
      <c r="E2" s="3">
        <v>0.49734039950055903</v>
      </c>
      <c r="K2" s="1"/>
      <c r="L2" s="1"/>
      <c r="M2" s="1"/>
      <c r="N2" s="1"/>
      <c r="O2" s="1"/>
      <c r="P2" s="1"/>
      <c r="Q2" s="1"/>
    </row>
    <row r="3" spans="1:40" ht="18.75" x14ac:dyDescent="0.3">
      <c r="A3">
        <v>1995</v>
      </c>
      <c r="B3" t="s">
        <v>5</v>
      </c>
      <c r="C3" s="3">
        <v>0.15107340527834201</v>
      </c>
      <c r="D3" s="3">
        <v>0.22510192983400601</v>
      </c>
      <c r="E3" s="3">
        <v>0.416113310456451</v>
      </c>
      <c r="K3" s="15" t="s">
        <v>8</v>
      </c>
      <c r="L3" s="15"/>
      <c r="M3" s="13">
        <v>1985</v>
      </c>
      <c r="N3" s="13">
        <v>1995</v>
      </c>
      <c r="O3" s="13">
        <v>2005</v>
      </c>
      <c r="P3" s="13">
        <v>2015</v>
      </c>
      <c r="Q3" s="13">
        <v>2021</v>
      </c>
      <c r="T3" s="10" t="s">
        <v>16</v>
      </c>
    </row>
    <row r="4" spans="1:40" ht="19.5" thickBot="1" x14ac:dyDescent="0.35">
      <c r="A4">
        <v>2005</v>
      </c>
      <c r="B4" t="s">
        <v>5</v>
      </c>
      <c r="C4" s="3">
        <v>0.110604257352324</v>
      </c>
      <c r="D4" s="3">
        <v>0.16660247777911899</v>
      </c>
      <c r="E4" s="3">
        <v>0.35750137791083603</v>
      </c>
      <c r="K4" s="4" t="s">
        <v>9</v>
      </c>
      <c r="L4" s="4" t="s">
        <v>10</v>
      </c>
      <c r="M4" s="14"/>
      <c r="N4" s="14"/>
      <c r="O4" s="14"/>
      <c r="P4" s="14"/>
      <c r="Q4" s="14"/>
    </row>
    <row r="5" spans="1:40" ht="18.75" x14ac:dyDescent="0.3">
      <c r="A5">
        <v>2015</v>
      </c>
      <c r="B5" t="s">
        <v>5</v>
      </c>
      <c r="C5" s="3">
        <v>0.13704400771587399</v>
      </c>
      <c r="D5" s="3">
        <v>0.20329517310159401</v>
      </c>
      <c r="E5" s="3">
        <v>0.37322340010586202</v>
      </c>
      <c r="K5" s="5" t="s">
        <v>11</v>
      </c>
      <c r="L5" s="5" t="s">
        <v>13</v>
      </c>
      <c r="M5" s="6">
        <v>0.49734039950055903</v>
      </c>
      <c r="N5" s="6">
        <v>0.416113310456451</v>
      </c>
      <c r="O5" s="6">
        <v>0.35750137791083603</v>
      </c>
      <c r="P5" s="6">
        <v>0.37322340010586202</v>
      </c>
      <c r="Q5" s="6">
        <v>0.37459726626670797</v>
      </c>
      <c r="T5" s="10" t="s">
        <v>0</v>
      </c>
      <c r="U5" t="s">
        <v>17</v>
      </c>
      <c r="V5" t="s">
        <v>18</v>
      </c>
      <c r="W5" t="s">
        <v>2</v>
      </c>
      <c r="X5" t="s">
        <v>3</v>
      </c>
      <c r="Y5" t="s">
        <v>4</v>
      </c>
      <c r="AB5" s="10" t="s">
        <v>18</v>
      </c>
      <c r="AC5" t="s">
        <v>19</v>
      </c>
      <c r="AD5">
        <v>2021</v>
      </c>
      <c r="AE5" t="s">
        <v>19</v>
      </c>
      <c r="AF5" t="s">
        <v>20</v>
      </c>
      <c r="AG5" t="s">
        <v>21</v>
      </c>
      <c r="AH5" t="s">
        <v>22</v>
      </c>
      <c r="AI5" t="s">
        <v>23</v>
      </c>
      <c r="AJ5" t="s">
        <v>24</v>
      </c>
      <c r="AK5" t="s">
        <v>25</v>
      </c>
      <c r="AL5" t="s">
        <v>26</v>
      </c>
      <c r="AM5" t="s">
        <v>22</v>
      </c>
      <c r="AN5" t="s">
        <v>27</v>
      </c>
    </row>
    <row r="6" spans="1:40" ht="18.75" x14ac:dyDescent="0.3">
      <c r="A6">
        <v>2021</v>
      </c>
      <c r="B6" t="s">
        <v>5</v>
      </c>
      <c r="C6" s="3">
        <v>0.128048876390954</v>
      </c>
      <c r="D6" s="3">
        <v>0.190160803712485</v>
      </c>
      <c r="E6" s="3">
        <v>0.37459726626670797</v>
      </c>
      <c r="K6" s="5" t="s">
        <v>11</v>
      </c>
      <c r="L6" s="5" t="s">
        <v>14</v>
      </c>
      <c r="M6" s="7"/>
      <c r="N6" s="7"/>
      <c r="O6" s="7">
        <v>0.12074136968214801</v>
      </c>
      <c r="P6" s="7">
        <v>0.12074136968214801</v>
      </c>
      <c r="Q6" s="6">
        <v>0.12074136968214801</v>
      </c>
      <c r="T6" s="10">
        <v>2021</v>
      </c>
      <c r="U6">
        <v>43</v>
      </c>
      <c r="V6" t="s">
        <v>35</v>
      </c>
      <c r="W6">
        <v>0.17538599999999999</v>
      </c>
      <c r="X6">
        <v>0.26830199999999998</v>
      </c>
      <c r="Y6">
        <v>0.52231000000000005</v>
      </c>
      <c r="Z6" t="s">
        <v>35</v>
      </c>
    </row>
    <row r="7" spans="1:40" ht="18.75" x14ac:dyDescent="0.3">
      <c r="A7">
        <v>2005</v>
      </c>
      <c r="B7" t="s">
        <v>6</v>
      </c>
      <c r="C7" s="3">
        <v>1.70967466414092E-2</v>
      </c>
      <c r="D7" s="3">
        <v>2.76896226692122E-2</v>
      </c>
      <c r="E7" s="3">
        <v>0.12074136968214801</v>
      </c>
      <c r="K7" s="5"/>
      <c r="L7" s="5"/>
      <c r="M7" s="7"/>
      <c r="N7" s="7"/>
      <c r="O7" s="7"/>
      <c r="P7" s="7"/>
      <c r="Q7" s="6"/>
      <c r="T7" s="10">
        <v>2021</v>
      </c>
      <c r="U7">
        <v>28</v>
      </c>
      <c r="V7" t="s">
        <v>36</v>
      </c>
      <c r="W7">
        <v>0.172098</v>
      </c>
      <c r="X7">
        <v>0.26584799999999997</v>
      </c>
      <c r="Y7">
        <v>0.50292599999999998</v>
      </c>
      <c r="Z7" t="s">
        <v>36</v>
      </c>
      <c r="AB7" s="10" t="s">
        <v>0</v>
      </c>
      <c r="AC7" t="s">
        <v>17</v>
      </c>
      <c r="AD7" t="s">
        <v>2</v>
      </c>
      <c r="AE7" t="s">
        <v>3</v>
      </c>
      <c r="AF7" t="s">
        <v>4</v>
      </c>
    </row>
    <row r="8" spans="1:40" ht="18.75" x14ac:dyDescent="0.3">
      <c r="A8">
        <v>2015</v>
      </c>
      <c r="B8" t="s">
        <v>6</v>
      </c>
      <c r="C8" s="3">
        <v>1.1067816232339499E-2</v>
      </c>
      <c r="D8" s="3">
        <v>1.7280066792281099E-2</v>
      </c>
      <c r="E8" s="3">
        <v>0.115119916516725</v>
      </c>
      <c r="K8" s="5" t="s">
        <v>12</v>
      </c>
      <c r="L8" s="5" t="s">
        <v>13</v>
      </c>
      <c r="M8" s="7">
        <v>0.27398655868310401</v>
      </c>
      <c r="N8" s="7">
        <v>0.22510192983400601</v>
      </c>
      <c r="O8" s="7">
        <v>0.16660247777911899</v>
      </c>
      <c r="P8" s="7">
        <v>0.20329517310159401</v>
      </c>
      <c r="Q8" s="6">
        <v>0.190160803712485</v>
      </c>
      <c r="T8" s="10">
        <v>2021</v>
      </c>
      <c r="U8">
        <v>31</v>
      </c>
      <c r="V8" t="s">
        <v>37</v>
      </c>
      <c r="W8">
        <v>0.17503299999999999</v>
      </c>
      <c r="X8">
        <v>0.26564399999999999</v>
      </c>
      <c r="Y8">
        <v>0.50032200000000004</v>
      </c>
      <c r="Z8" t="s">
        <v>37</v>
      </c>
      <c r="AB8" s="10">
        <v>2021</v>
      </c>
      <c r="AC8">
        <v>12</v>
      </c>
      <c r="AD8">
        <v>9.8544000000000007E-2</v>
      </c>
      <c r="AE8">
        <v>0.143347</v>
      </c>
      <c r="AF8" s="3">
        <v>0.31507499999999999</v>
      </c>
    </row>
    <row r="9" spans="1:40" ht="18.75" x14ac:dyDescent="0.3">
      <c r="A9">
        <v>2021</v>
      </c>
      <c r="B9" t="s">
        <v>6</v>
      </c>
      <c r="C9" s="3">
        <v>1.07365661803166E-2</v>
      </c>
      <c r="D9" s="3">
        <v>1.6355512468296501E-2</v>
      </c>
      <c r="E9" s="3">
        <v>0.117576265193194</v>
      </c>
      <c r="K9" s="5" t="s">
        <v>12</v>
      </c>
      <c r="L9" s="5" t="s">
        <v>14</v>
      </c>
      <c r="M9" s="7"/>
      <c r="N9" s="7"/>
      <c r="O9" s="7">
        <v>2.76896226692122E-2</v>
      </c>
      <c r="P9" s="7">
        <v>1.7280066792281099E-2</v>
      </c>
      <c r="Q9" s="6">
        <v>1.6355512468296501E-2</v>
      </c>
      <c r="T9" s="10">
        <v>2021</v>
      </c>
      <c r="U9">
        <v>41</v>
      </c>
      <c r="V9" t="s">
        <v>38</v>
      </c>
      <c r="W9">
        <v>0.184367</v>
      </c>
      <c r="X9">
        <v>0.27407599999999999</v>
      </c>
      <c r="Y9">
        <v>0.49864199999999997</v>
      </c>
      <c r="Z9" t="s">
        <v>38</v>
      </c>
      <c r="AB9" s="10">
        <v>2021</v>
      </c>
      <c r="AC9">
        <v>17</v>
      </c>
      <c r="AD9">
        <v>5.6190999999999998E-2</v>
      </c>
      <c r="AE9">
        <v>8.1309999999999993E-2</v>
      </c>
      <c r="AF9" s="3">
        <v>0.25860100000000003</v>
      </c>
    </row>
    <row r="10" spans="1:40" ht="19.5" thickBot="1" x14ac:dyDescent="0.35">
      <c r="A10">
        <v>2005</v>
      </c>
      <c r="B10" t="s">
        <v>7</v>
      </c>
      <c r="C10" s="3">
        <v>0.12888462076223101</v>
      </c>
      <c r="D10" s="3">
        <v>0.100720945045257</v>
      </c>
      <c r="E10" s="3" t="e">
        <v>#N/A</v>
      </c>
      <c r="K10" s="8" t="s">
        <v>12</v>
      </c>
      <c r="L10" s="8" t="s">
        <v>15</v>
      </c>
      <c r="M10" s="9"/>
      <c r="N10" s="9"/>
      <c r="O10" s="9">
        <v>0.100720945045257</v>
      </c>
      <c r="P10" s="9">
        <v>0.113012036536886</v>
      </c>
      <c r="Q10" s="9">
        <v>0.104431739941798</v>
      </c>
      <c r="T10" s="10">
        <v>2021</v>
      </c>
      <c r="U10">
        <v>32</v>
      </c>
      <c r="V10" t="s">
        <v>39</v>
      </c>
      <c r="W10">
        <v>0.17366699999999999</v>
      </c>
      <c r="X10">
        <v>0.25306299999999998</v>
      </c>
      <c r="Y10">
        <v>0.480466</v>
      </c>
      <c r="Z10" t="s">
        <v>39</v>
      </c>
      <c r="AB10" s="10">
        <v>2021</v>
      </c>
      <c r="AC10">
        <v>53</v>
      </c>
      <c r="AD10">
        <v>2.3283999999999999E-2</v>
      </c>
      <c r="AE10">
        <v>3.8911000000000001E-2</v>
      </c>
      <c r="AF10" s="3">
        <v>0.20986199999999999</v>
      </c>
    </row>
    <row r="11" spans="1:40" x14ac:dyDescent="0.25">
      <c r="A11">
        <v>2015</v>
      </c>
      <c r="B11" t="s">
        <v>7</v>
      </c>
      <c r="C11" s="3">
        <v>0.14835940541221401</v>
      </c>
      <c r="D11" s="3">
        <v>0.113012036536886</v>
      </c>
      <c r="E11" s="3" t="e">
        <v>#N/A</v>
      </c>
      <c r="T11" s="10">
        <v>2021</v>
      </c>
      <c r="U11">
        <v>35</v>
      </c>
      <c r="V11" t="s">
        <v>40</v>
      </c>
      <c r="W11">
        <v>0.14439399999999999</v>
      </c>
      <c r="X11">
        <v>0.209872</v>
      </c>
      <c r="Y11">
        <v>0.454596</v>
      </c>
      <c r="Z11" t="s">
        <v>40</v>
      </c>
      <c r="AB11" s="10">
        <v>2021</v>
      </c>
      <c r="AC11">
        <v>22</v>
      </c>
      <c r="AD11">
        <v>2.9097999999999999E-2</v>
      </c>
      <c r="AE11">
        <v>5.3251E-2</v>
      </c>
      <c r="AF11" s="3">
        <v>0.208871</v>
      </c>
    </row>
    <row r="12" spans="1:40" x14ac:dyDescent="0.25">
      <c r="A12">
        <v>2021</v>
      </c>
      <c r="B12" t="s">
        <v>7</v>
      </c>
      <c r="C12" s="3">
        <v>0.138633681983204</v>
      </c>
      <c r="D12" s="3">
        <v>0.104431739941798</v>
      </c>
      <c r="E12" s="3" t="e">
        <v>#N/A</v>
      </c>
      <c r="T12" s="10">
        <v>2021</v>
      </c>
      <c r="U12">
        <v>52</v>
      </c>
      <c r="V12" t="s">
        <v>41</v>
      </c>
      <c r="W12">
        <v>0.14960000000000001</v>
      </c>
      <c r="X12">
        <v>0.217001</v>
      </c>
      <c r="Y12">
        <v>0.44780399999999998</v>
      </c>
      <c r="Z12" t="s">
        <v>41</v>
      </c>
      <c r="AB12" s="10">
        <v>2021</v>
      </c>
      <c r="AC12">
        <v>26</v>
      </c>
      <c r="AD12">
        <v>3.7865000000000003E-2</v>
      </c>
      <c r="AE12">
        <v>5.9970999999999997E-2</v>
      </c>
      <c r="AF12" s="3">
        <v>0.19286200000000001</v>
      </c>
    </row>
    <row r="13" spans="1:40" x14ac:dyDescent="0.25">
      <c r="T13" s="10">
        <v>2021</v>
      </c>
      <c r="U13">
        <v>22</v>
      </c>
      <c r="V13" t="s">
        <v>42</v>
      </c>
      <c r="W13">
        <v>0.16244600000000001</v>
      </c>
      <c r="X13">
        <v>0.23493</v>
      </c>
      <c r="Y13">
        <v>0.43605300000000002</v>
      </c>
      <c r="Z13" t="s">
        <v>42</v>
      </c>
      <c r="AB13" s="10">
        <v>2021</v>
      </c>
      <c r="AC13">
        <v>52</v>
      </c>
      <c r="AD13">
        <v>2.5482000000000001E-2</v>
      </c>
      <c r="AE13">
        <v>3.8195E-2</v>
      </c>
      <c r="AF13" s="3">
        <v>0.18978200000000001</v>
      </c>
    </row>
    <row r="14" spans="1:40" x14ac:dyDescent="0.25">
      <c r="T14" s="10">
        <v>2021</v>
      </c>
      <c r="U14">
        <v>42</v>
      </c>
      <c r="V14" t="s">
        <v>43</v>
      </c>
      <c r="W14">
        <v>0.13950099999999999</v>
      </c>
      <c r="X14">
        <v>0.21060799999999999</v>
      </c>
      <c r="Y14">
        <v>0.42968899999999999</v>
      </c>
      <c r="Z14" t="s">
        <v>43</v>
      </c>
      <c r="AB14" s="10">
        <v>2021</v>
      </c>
      <c r="AC14">
        <v>28</v>
      </c>
      <c r="AD14">
        <v>2.9968000000000002E-2</v>
      </c>
      <c r="AE14">
        <v>4.9044999999999998E-2</v>
      </c>
      <c r="AF14" s="3">
        <v>0.18153</v>
      </c>
    </row>
    <row r="15" spans="1:40" x14ac:dyDescent="0.25">
      <c r="T15" s="10">
        <v>2021</v>
      </c>
      <c r="U15">
        <v>15</v>
      </c>
      <c r="V15" t="s">
        <v>44</v>
      </c>
      <c r="W15">
        <v>0.14921499999999999</v>
      </c>
      <c r="X15">
        <v>0.21528700000000001</v>
      </c>
      <c r="Y15">
        <v>0.41536000000000001</v>
      </c>
      <c r="Z15" t="s">
        <v>44</v>
      </c>
      <c r="AB15" s="10">
        <v>2021</v>
      </c>
      <c r="AC15">
        <v>33</v>
      </c>
      <c r="AD15">
        <v>1.6848999999999999E-2</v>
      </c>
      <c r="AE15">
        <v>2.8850000000000001E-2</v>
      </c>
      <c r="AF15" s="3">
        <v>0.17694699999999999</v>
      </c>
    </row>
    <row r="16" spans="1:40" x14ac:dyDescent="0.25">
      <c r="T16" s="10">
        <v>2021</v>
      </c>
      <c r="U16">
        <v>26</v>
      </c>
      <c r="V16" t="s">
        <v>45</v>
      </c>
      <c r="W16">
        <v>0.13644000000000001</v>
      </c>
      <c r="X16">
        <v>0.19825799999999999</v>
      </c>
      <c r="Y16">
        <v>0.411354</v>
      </c>
      <c r="Z16" t="s">
        <v>45</v>
      </c>
      <c r="AB16" s="10">
        <v>2021</v>
      </c>
      <c r="AC16">
        <v>32</v>
      </c>
      <c r="AD16">
        <v>2.3463000000000001E-2</v>
      </c>
      <c r="AE16">
        <v>3.4932999999999999E-2</v>
      </c>
      <c r="AF16" s="3">
        <v>0.169904</v>
      </c>
    </row>
    <row r="17" spans="2:32" ht="15.75" x14ac:dyDescent="0.25">
      <c r="T17" s="11">
        <v>2021</v>
      </c>
      <c r="U17">
        <v>53</v>
      </c>
      <c r="V17" t="s">
        <v>46</v>
      </c>
      <c r="W17">
        <v>0.120837</v>
      </c>
      <c r="X17">
        <v>0.178035</v>
      </c>
      <c r="Y17">
        <v>0.391237</v>
      </c>
      <c r="Z17" t="s">
        <v>46</v>
      </c>
      <c r="AB17" s="10">
        <v>2021</v>
      </c>
      <c r="AC17">
        <v>41</v>
      </c>
      <c r="AD17">
        <v>7.1900000000000002E-3</v>
      </c>
      <c r="AE17">
        <v>2.3810000000000001E-2</v>
      </c>
      <c r="AF17" s="3">
        <v>0.165074</v>
      </c>
    </row>
    <row r="18" spans="2:32" x14ac:dyDescent="0.25">
      <c r="B18" t="s">
        <v>57</v>
      </c>
      <c r="T18" s="10">
        <v>2021</v>
      </c>
      <c r="U18">
        <v>12</v>
      </c>
      <c r="V18" t="s">
        <v>47</v>
      </c>
      <c r="W18">
        <v>0.12121700000000001</v>
      </c>
      <c r="X18">
        <v>0.17610000000000001</v>
      </c>
      <c r="Y18">
        <v>0.39116400000000001</v>
      </c>
      <c r="Z18" t="s">
        <v>47</v>
      </c>
      <c r="AB18" s="10">
        <v>2021</v>
      </c>
      <c r="AC18">
        <v>15</v>
      </c>
      <c r="AD18">
        <v>1.6754999999999999E-2</v>
      </c>
      <c r="AE18">
        <v>3.2008000000000002E-2</v>
      </c>
      <c r="AF18" s="3">
        <v>0.157638</v>
      </c>
    </row>
    <row r="19" spans="2:32" x14ac:dyDescent="0.25">
      <c r="T19" s="10">
        <v>2021</v>
      </c>
      <c r="U19">
        <v>13</v>
      </c>
      <c r="V19" t="s">
        <v>48</v>
      </c>
      <c r="W19">
        <v>0.12556600000000001</v>
      </c>
      <c r="X19">
        <v>0.18283099999999999</v>
      </c>
      <c r="Y19">
        <v>0.36332199999999998</v>
      </c>
      <c r="Z19" t="s">
        <v>48</v>
      </c>
      <c r="AB19" s="10">
        <v>2021</v>
      </c>
      <c r="AC19">
        <v>25</v>
      </c>
      <c r="AD19">
        <v>2.9656999999999999E-2</v>
      </c>
      <c r="AE19">
        <v>4.5458999999999999E-2</v>
      </c>
      <c r="AF19" s="3">
        <v>0.156836</v>
      </c>
    </row>
    <row r="20" spans="2:32" x14ac:dyDescent="0.25">
      <c r="C20" t="s">
        <v>18</v>
      </c>
      <c r="D20" t="s">
        <v>3</v>
      </c>
      <c r="E20" t="s">
        <v>4</v>
      </c>
      <c r="T20" s="10">
        <v>2021</v>
      </c>
      <c r="U20">
        <v>33</v>
      </c>
      <c r="V20" t="s">
        <v>49</v>
      </c>
      <c r="W20">
        <v>0.112418</v>
      </c>
      <c r="X20">
        <v>0.16237499999999999</v>
      </c>
      <c r="Y20">
        <v>0.35879499999999998</v>
      </c>
      <c r="Z20" t="s">
        <v>49</v>
      </c>
      <c r="AB20" s="10">
        <v>2021</v>
      </c>
      <c r="AC20">
        <v>29</v>
      </c>
      <c r="AD20">
        <v>1.9191E-2</v>
      </c>
      <c r="AE20">
        <v>3.6025000000000001E-2</v>
      </c>
      <c r="AF20" s="3">
        <v>0.15407000000000001</v>
      </c>
    </row>
    <row r="21" spans="2:32" x14ac:dyDescent="0.25">
      <c r="C21" t="s">
        <v>35</v>
      </c>
      <c r="D21" s="3">
        <v>0.26830199999999998</v>
      </c>
      <c r="E21" s="3">
        <v>0.52231000000000005</v>
      </c>
      <c r="T21" s="10">
        <v>2021</v>
      </c>
      <c r="U21">
        <v>27</v>
      </c>
      <c r="V21" t="s">
        <v>50</v>
      </c>
      <c r="W21">
        <v>0.10269399999999999</v>
      </c>
      <c r="X21">
        <v>0.14815700000000001</v>
      </c>
      <c r="Y21">
        <v>0.34983300000000001</v>
      </c>
      <c r="Z21" t="s">
        <v>50</v>
      </c>
      <c r="AB21" s="10">
        <v>2021</v>
      </c>
      <c r="AC21">
        <v>13</v>
      </c>
      <c r="AD21">
        <v>1.2156E-2</v>
      </c>
      <c r="AE21">
        <v>2.3786000000000002E-2</v>
      </c>
      <c r="AF21" s="3">
        <v>0.14827199999999999</v>
      </c>
    </row>
    <row r="22" spans="2:32" x14ac:dyDescent="0.25">
      <c r="C22" t="s">
        <v>36</v>
      </c>
      <c r="D22" s="3">
        <v>0.26584799999999997</v>
      </c>
      <c r="E22" s="3">
        <v>0.50292599999999998</v>
      </c>
      <c r="T22" s="10">
        <v>2021</v>
      </c>
      <c r="U22">
        <v>24</v>
      </c>
      <c r="V22" t="s">
        <v>51</v>
      </c>
      <c r="W22">
        <v>0.12726399999999999</v>
      </c>
      <c r="X22">
        <v>0.18368699999999999</v>
      </c>
      <c r="Y22">
        <v>0.33472800000000003</v>
      </c>
      <c r="Z22" t="s">
        <v>51</v>
      </c>
      <c r="AB22" s="10">
        <v>2021</v>
      </c>
      <c r="AC22">
        <v>35</v>
      </c>
      <c r="AD22">
        <v>1.0668E-2</v>
      </c>
      <c r="AE22">
        <v>2.2603999999999999E-2</v>
      </c>
      <c r="AF22" s="3">
        <v>0.13978699999999999</v>
      </c>
    </row>
    <row r="23" spans="2:32" x14ac:dyDescent="0.25">
      <c r="C23" t="s">
        <v>37</v>
      </c>
      <c r="D23" s="3">
        <v>0.26564399999999999</v>
      </c>
      <c r="E23" s="3">
        <v>0.50032200000000004</v>
      </c>
      <c r="T23" s="10">
        <v>2021</v>
      </c>
      <c r="U23">
        <v>17</v>
      </c>
      <c r="V23" t="s">
        <v>52</v>
      </c>
      <c r="W23">
        <v>0.103826</v>
      </c>
      <c r="X23">
        <v>0.15440599999999999</v>
      </c>
      <c r="Y23">
        <v>0.30746600000000002</v>
      </c>
      <c r="Z23" t="s">
        <v>52</v>
      </c>
      <c r="AB23" s="10">
        <v>2021</v>
      </c>
      <c r="AC23">
        <v>43</v>
      </c>
      <c r="AD23">
        <v>6.0689999999999997E-3</v>
      </c>
      <c r="AE23">
        <v>1.9016999999999999E-2</v>
      </c>
      <c r="AF23" s="3">
        <v>0.13755999999999999</v>
      </c>
    </row>
    <row r="24" spans="2:32" x14ac:dyDescent="0.25">
      <c r="C24" t="s">
        <v>38</v>
      </c>
      <c r="D24" s="3">
        <v>0.27407599999999999</v>
      </c>
      <c r="E24" s="3">
        <v>0.49864199999999997</v>
      </c>
      <c r="T24" s="10">
        <v>2021</v>
      </c>
      <c r="U24">
        <v>25</v>
      </c>
      <c r="V24" t="s">
        <v>53</v>
      </c>
      <c r="W24">
        <v>8.183E-2</v>
      </c>
      <c r="X24">
        <v>0.118088</v>
      </c>
      <c r="Y24">
        <v>0.27388600000000002</v>
      </c>
      <c r="Z24" t="s">
        <v>53</v>
      </c>
      <c r="AB24" s="10">
        <v>2021</v>
      </c>
      <c r="AC24">
        <v>31</v>
      </c>
      <c r="AD24">
        <v>9.0779999999999993E-3</v>
      </c>
      <c r="AE24">
        <v>1.4357E-2</v>
      </c>
      <c r="AF24" s="3">
        <v>0.123642</v>
      </c>
    </row>
    <row r="25" spans="2:32" x14ac:dyDescent="0.25">
      <c r="C25" t="s">
        <v>39</v>
      </c>
      <c r="D25" s="3">
        <v>0.25306299999999998</v>
      </c>
      <c r="E25" s="3">
        <v>0.480466</v>
      </c>
      <c r="T25" s="10">
        <v>2021</v>
      </c>
      <c r="U25">
        <v>50</v>
      </c>
      <c r="V25" t="s">
        <v>54</v>
      </c>
      <c r="W25">
        <v>7.8170000000000003E-2</v>
      </c>
      <c r="X25">
        <v>0.114505</v>
      </c>
      <c r="Y25">
        <v>0.24219199999999999</v>
      </c>
      <c r="Z25" t="s">
        <v>54</v>
      </c>
      <c r="AB25" s="10">
        <v>2021</v>
      </c>
      <c r="AC25">
        <v>50</v>
      </c>
      <c r="AD25">
        <v>9.3120000000000008E-3</v>
      </c>
      <c r="AE25">
        <v>1.4437E-2</v>
      </c>
      <c r="AF25" s="3">
        <v>8.4325999999999998E-2</v>
      </c>
    </row>
    <row r="26" spans="2:32" x14ac:dyDescent="0.25">
      <c r="C26" t="s">
        <v>40</v>
      </c>
      <c r="D26" s="3">
        <v>0.209872</v>
      </c>
      <c r="E26" s="3">
        <v>0.454596</v>
      </c>
      <c r="T26" s="10">
        <v>2021</v>
      </c>
      <c r="U26">
        <v>29</v>
      </c>
      <c r="V26" t="s">
        <v>55</v>
      </c>
      <c r="W26">
        <v>6.3483999999999999E-2</v>
      </c>
      <c r="X26">
        <v>9.5741000000000007E-2</v>
      </c>
      <c r="Y26">
        <v>0.23355799999999999</v>
      </c>
      <c r="Z26" t="s">
        <v>55</v>
      </c>
      <c r="AB26" s="10">
        <v>2021</v>
      </c>
      <c r="AC26">
        <v>24</v>
      </c>
      <c r="AD26">
        <v>7.0920000000000002E-3</v>
      </c>
      <c r="AE26">
        <v>1.0369E-2</v>
      </c>
      <c r="AF26" s="3">
        <v>7.3245000000000005E-2</v>
      </c>
    </row>
    <row r="27" spans="2:32" x14ac:dyDescent="0.25">
      <c r="C27" t="s">
        <v>41</v>
      </c>
      <c r="D27" s="3">
        <v>0.217001</v>
      </c>
      <c r="E27" s="3">
        <v>0.44780399999999998</v>
      </c>
      <c r="T27" s="10">
        <v>2021</v>
      </c>
      <c r="U27">
        <v>14</v>
      </c>
      <c r="V27" t="s">
        <v>56</v>
      </c>
      <c r="W27">
        <v>8.0190000000000001E-3</v>
      </c>
      <c r="X27">
        <v>1.1835E-2</v>
      </c>
      <c r="Y27">
        <v>4.0723000000000002E-2</v>
      </c>
      <c r="Z27" t="s">
        <v>56</v>
      </c>
      <c r="AB27" s="10">
        <v>2021</v>
      </c>
      <c r="AC27">
        <v>27</v>
      </c>
      <c r="AD27">
        <v>4.5919999999999997E-3</v>
      </c>
      <c r="AE27">
        <v>6.6299999999999996E-3</v>
      </c>
      <c r="AF27" s="3">
        <v>5.5791E-2</v>
      </c>
    </row>
    <row r="28" spans="2:32" x14ac:dyDescent="0.25">
      <c r="C28" t="s">
        <v>42</v>
      </c>
      <c r="D28" s="3">
        <v>0.23493</v>
      </c>
      <c r="E28" s="3">
        <v>0.43605300000000002</v>
      </c>
      <c r="AB28" s="10">
        <v>2021</v>
      </c>
      <c r="AC28">
        <v>42</v>
      </c>
      <c r="AD28">
        <v>1.1590000000000001E-3</v>
      </c>
      <c r="AE28">
        <v>4.633E-3</v>
      </c>
      <c r="AF28" s="3">
        <v>3.8898000000000002E-2</v>
      </c>
    </row>
    <row r="29" spans="2:32" x14ac:dyDescent="0.25">
      <c r="C29" t="s">
        <v>43</v>
      </c>
      <c r="D29" s="3">
        <v>0.21060799999999999</v>
      </c>
      <c r="E29" s="3">
        <v>0.42968899999999999</v>
      </c>
      <c r="AB29" s="10">
        <v>2021</v>
      </c>
      <c r="AC29">
        <v>14</v>
      </c>
      <c r="AD29">
        <v>3.5669999999999999E-3</v>
      </c>
      <c r="AE29">
        <v>5.4219999999999997E-3</v>
      </c>
      <c r="AF29" s="3">
        <v>3.4928000000000001E-2</v>
      </c>
    </row>
    <row r="30" spans="2:32" x14ac:dyDescent="0.25">
      <c r="C30" t="s">
        <v>44</v>
      </c>
      <c r="D30" s="3">
        <v>0.21528700000000001</v>
      </c>
      <c r="E30" s="3">
        <v>0.41536000000000001</v>
      </c>
    </row>
    <row r="31" spans="2:32" x14ac:dyDescent="0.25">
      <c r="C31" t="s">
        <v>45</v>
      </c>
      <c r="D31" s="3">
        <v>0.19825799999999999</v>
      </c>
      <c r="E31" s="3">
        <v>0.411354</v>
      </c>
    </row>
    <row r="32" spans="2:32" x14ac:dyDescent="0.25">
      <c r="C32" t="s">
        <v>46</v>
      </c>
      <c r="D32" s="3">
        <v>0.178035</v>
      </c>
      <c r="E32" s="3">
        <v>0.391237</v>
      </c>
      <c r="U32" t="s">
        <v>28</v>
      </c>
      <c r="W32" s="12">
        <f>_xlfn.STDEV.P(Y6:Y27)</f>
        <v>0.11036902315399429</v>
      </c>
      <c r="AC32" t="s">
        <v>28</v>
      </c>
      <c r="AD32">
        <f>_xlfn.STDEV.P(AF8:AF29)</f>
        <v>6.6522190934151751E-2</v>
      </c>
    </row>
    <row r="33" spans="2:53" x14ac:dyDescent="0.25">
      <c r="C33" t="s">
        <v>47</v>
      </c>
      <c r="D33" s="3">
        <v>0.17610000000000001</v>
      </c>
      <c r="E33" s="3">
        <v>0.39116400000000001</v>
      </c>
      <c r="U33" t="s">
        <v>29</v>
      </c>
      <c r="W33">
        <f>AVERAGE(Y6:Y27)</f>
        <v>0.3812011818181818</v>
      </c>
      <c r="AC33" t="s">
        <v>29</v>
      </c>
      <c r="AD33">
        <f>AVERAGE(AF8:AF29)</f>
        <v>0.15334095454545457</v>
      </c>
    </row>
    <row r="34" spans="2:53" x14ac:dyDescent="0.25">
      <c r="C34" t="s">
        <v>48</v>
      </c>
      <c r="D34" s="3">
        <v>0.18283099999999999</v>
      </c>
      <c r="E34" s="3">
        <v>0.36332199999999998</v>
      </c>
    </row>
    <row r="35" spans="2:53" x14ac:dyDescent="0.25">
      <c r="C35" t="s">
        <v>49</v>
      </c>
      <c r="D35" s="3">
        <v>0.16237499999999999</v>
      </c>
      <c r="E35" s="3">
        <v>0.35879499999999998</v>
      </c>
      <c r="U35" t="s">
        <v>30</v>
      </c>
      <c r="W35" s="2">
        <f>W32/W33</f>
        <v>0.28952959334380035</v>
      </c>
      <c r="AC35" t="s">
        <v>30</v>
      </c>
      <c r="AD35" s="2">
        <f>AD32/AD33</f>
        <v>0.43381881331926042</v>
      </c>
    </row>
    <row r="36" spans="2:53" x14ac:dyDescent="0.25">
      <c r="C36" t="s">
        <v>50</v>
      </c>
      <c r="D36" s="3">
        <v>0.14815700000000001</v>
      </c>
      <c r="E36" s="3">
        <v>0.34983300000000001</v>
      </c>
    </row>
    <row r="37" spans="2:53" x14ac:dyDescent="0.25">
      <c r="C37" t="s">
        <v>51</v>
      </c>
      <c r="D37" s="3">
        <v>0.18368699999999999</v>
      </c>
      <c r="E37" s="3">
        <v>0.33472800000000003</v>
      </c>
    </row>
    <row r="38" spans="2:53" x14ac:dyDescent="0.25">
      <c r="C38" t="s">
        <v>52</v>
      </c>
      <c r="D38" s="3">
        <v>0.15440599999999999</v>
      </c>
      <c r="E38" s="3">
        <v>0.30746600000000002</v>
      </c>
    </row>
    <row r="39" spans="2:53" x14ac:dyDescent="0.25">
      <c r="C39" t="s">
        <v>53</v>
      </c>
      <c r="D39" s="3">
        <v>0.118088</v>
      </c>
      <c r="E39" s="3">
        <v>0.27388600000000002</v>
      </c>
    </row>
    <row r="40" spans="2:53" x14ac:dyDescent="0.25">
      <c r="C40" t="s">
        <v>54</v>
      </c>
      <c r="D40" s="3">
        <v>0.114505</v>
      </c>
      <c r="E40" s="3">
        <v>0.24219199999999999</v>
      </c>
    </row>
    <row r="41" spans="2:53" x14ac:dyDescent="0.25">
      <c r="C41" t="s">
        <v>55</v>
      </c>
      <c r="D41" s="3">
        <v>9.5741000000000007E-2</v>
      </c>
      <c r="E41" s="3">
        <v>0.23355799999999999</v>
      </c>
    </row>
    <row r="42" spans="2:53" x14ac:dyDescent="0.25">
      <c r="C42" t="s">
        <v>56</v>
      </c>
      <c r="D42" s="3">
        <v>1.1835E-2</v>
      </c>
      <c r="E42" s="3">
        <v>4.0723000000000002E-2</v>
      </c>
      <c r="U42" t="s">
        <v>18</v>
      </c>
      <c r="W42" t="s">
        <v>19</v>
      </c>
      <c r="X42">
        <v>2021</v>
      </c>
      <c r="Y42" t="s">
        <v>19</v>
      </c>
      <c r="Z42" t="s">
        <v>13</v>
      </c>
      <c r="AA42" t="s">
        <v>31</v>
      </c>
      <c r="AB42" t="s">
        <v>20</v>
      </c>
      <c r="AC42" t="s">
        <v>32</v>
      </c>
      <c r="AD42" t="s">
        <v>19</v>
      </c>
      <c r="AE42" t="s">
        <v>26</v>
      </c>
      <c r="AF42" t="s">
        <v>22</v>
      </c>
      <c r="AG42" t="s">
        <v>23</v>
      </c>
      <c r="AH42" t="s">
        <v>24</v>
      </c>
      <c r="AI42" t="s">
        <v>33</v>
      </c>
      <c r="AJ42" t="s">
        <v>19</v>
      </c>
      <c r="AK42" t="s">
        <v>25</v>
      </c>
      <c r="AL42" t="s">
        <v>26</v>
      </c>
      <c r="AM42" t="s">
        <v>22</v>
      </c>
      <c r="AN42" t="s">
        <v>23</v>
      </c>
      <c r="AO42" t="s">
        <v>24</v>
      </c>
      <c r="AP42" t="s">
        <v>34</v>
      </c>
      <c r="AQ42" t="s">
        <v>19</v>
      </c>
      <c r="AR42" t="s">
        <v>26</v>
      </c>
      <c r="AS42" t="s">
        <v>22</v>
      </c>
      <c r="AT42" t="s">
        <v>23</v>
      </c>
      <c r="AU42" t="s">
        <v>24</v>
      </c>
      <c r="AV42" t="s">
        <v>34</v>
      </c>
      <c r="AW42" t="s">
        <v>19</v>
      </c>
      <c r="AX42" t="s">
        <v>25</v>
      </c>
      <c r="AY42" t="s">
        <v>26</v>
      </c>
      <c r="AZ42" t="s">
        <v>22</v>
      </c>
      <c r="BA42" t="s">
        <v>27</v>
      </c>
    </row>
    <row r="44" spans="2:53" x14ac:dyDescent="0.25">
      <c r="B44" t="s">
        <v>58</v>
      </c>
      <c r="U44" t="s">
        <v>0</v>
      </c>
      <c r="W44" t="s">
        <v>17</v>
      </c>
      <c r="X44" t="s">
        <v>2</v>
      </c>
      <c r="Y44" t="s">
        <v>3</v>
      </c>
    </row>
    <row r="45" spans="2:53" x14ac:dyDescent="0.25">
      <c r="U45">
        <v>2021</v>
      </c>
      <c r="W45">
        <v>41</v>
      </c>
      <c r="X45">
        <v>0.19173399999999999</v>
      </c>
      <c r="Y45" s="3">
        <v>0.19701099999999999</v>
      </c>
    </row>
    <row r="46" spans="2:53" x14ac:dyDescent="0.25">
      <c r="B46" s="10" t="s">
        <v>18</v>
      </c>
      <c r="C46" t="s">
        <v>17</v>
      </c>
      <c r="D46" t="s">
        <v>3</v>
      </c>
      <c r="E46" t="s">
        <v>4</v>
      </c>
      <c r="U46">
        <v>2021</v>
      </c>
      <c r="W46">
        <v>43</v>
      </c>
      <c r="X46">
        <v>0.181864</v>
      </c>
      <c r="Y46" s="3">
        <v>0.186999</v>
      </c>
      <c r="AB46" t="s">
        <v>28</v>
      </c>
      <c r="AC46" s="12">
        <f>_xlfn.STDEV.P(Y45:Y66)</f>
        <v>4.2618256555550266E-2</v>
      </c>
    </row>
    <row r="47" spans="2:53" x14ac:dyDescent="0.25">
      <c r="B47" s="10" t="e">
        <f>INDEX($U$6:$V$27,MATCH(C47,$U$6:$U$27,0),2)</f>
        <v>#N/A</v>
      </c>
      <c r="C47" t="s">
        <v>47</v>
      </c>
      <c r="D47" s="3">
        <v>0.143347</v>
      </c>
      <c r="E47" s="3">
        <v>0.31507499999999999</v>
      </c>
      <c r="U47">
        <v>2021</v>
      </c>
      <c r="W47">
        <v>28</v>
      </c>
      <c r="X47">
        <v>0.208423</v>
      </c>
      <c r="Y47" s="3">
        <v>0.165687</v>
      </c>
      <c r="AB47" t="s">
        <v>29</v>
      </c>
      <c r="AC47">
        <f>AVERAGE(Y45:Y66)</f>
        <v>0.12280527272727276</v>
      </c>
    </row>
    <row r="48" spans="2:53" x14ac:dyDescent="0.25">
      <c r="B48" s="10" t="e">
        <f t="shared" ref="B48:B68" si="0">INDEX($U$6:$V$27,MATCH(C48,$U$6:$U$27,0),2)</f>
        <v>#N/A</v>
      </c>
      <c r="C48" t="s">
        <v>52</v>
      </c>
      <c r="D48" s="3">
        <v>8.1309999999999993E-2</v>
      </c>
      <c r="E48" s="3">
        <v>0.25860100000000003</v>
      </c>
      <c r="U48">
        <v>2021</v>
      </c>
      <c r="W48">
        <v>12</v>
      </c>
      <c r="X48">
        <v>0.22090199999999999</v>
      </c>
      <c r="Y48" s="3">
        <v>0.160853</v>
      </c>
    </row>
    <row r="49" spans="2:29" x14ac:dyDescent="0.25">
      <c r="B49" s="10" t="e">
        <f t="shared" si="0"/>
        <v>#N/A</v>
      </c>
      <c r="C49" t="s">
        <v>46</v>
      </c>
      <c r="D49" s="3">
        <v>3.8911000000000001E-2</v>
      </c>
      <c r="E49" s="3">
        <v>0.20986199999999999</v>
      </c>
      <c r="U49">
        <v>2021</v>
      </c>
      <c r="W49">
        <v>22</v>
      </c>
      <c r="X49">
        <v>0.193216</v>
      </c>
      <c r="Y49" s="3">
        <v>0.15620899999999999</v>
      </c>
      <c r="AB49" t="s">
        <v>30</v>
      </c>
      <c r="AC49" s="2">
        <f>AC46/AC47</f>
        <v>0.34703930547182071</v>
      </c>
    </row>
    <row r="50" spans="2:29" x14ac:dyDescent="0.25">
      <c r="B50" s="10" t="e">
        <f t="shared" si="0"/>
        <v>#N/A</v>
      </c>
      <c r="C50" t="s">
        <v>42</v>
      </c>
      <c r="D50" s="3">
        <v>5.3251E-2</v>
      </c>
      <c r="E50" s="3">
        <v>0.208871</v>
      </c>
      <c r="U50">
        <v>2021</v>
      </c>
      <c r="W50">
        <v>42</v>
      </c>
      <c r="X50">
        <v>0.140765</v>
      </c>
      <c r="Y50" s="3">
        <v>0.15438299999999999</v>
      </c>
    </row>
    <row r="51" spans="2:29" x14ac:dyDescent="0.25">
      <c r="B51" s="10" t="e">
        <f t="shared" si="0"/>
        <v>#N/A</v>
      </c>
      <c r="C51" t="s">
        <v>45</v>
      </c>
      <c r="D51" s="3">
        <v>5.9970999999999997E-2</v>
      </c>
      <c r="E51" s="3">
        <v>0.19286200000000001</v>
      </c>
      <c r="U51">
        <v>2021</v>
      </c>
      <c r="W51">
        <v>32</v>
      </c>
      <c r="X51">
        <v>0.19950699999999999</v>
      </c>
      <c r="Y51" s="3">
        <v>0.14701800000000001</v>
      </c>
    </row>
    <row r="52" spans="2:29" x14ac:dyDescent="0.25">
      <c r="B52" s="10" t="e">
        <f t="shared" si="0"/>
        <v>#N/A</v>
      </c>
      <c r="C52" t="s">
        <v>41</v>
      </c>
      <c r="D52" s="3">
        <v>3.8195E-2</v>
      </c>
      <c r="E52" s="3">
        <v>0.18978200000000001</v>
      </c>
      <c r="U52">
        <v>2021</v>
      </c>
      <c r="W52">
        <v>31</v>
      </c>
      <c r="X52">
        <v>0.182619</v>
      </c>
      <c r="Y52" s="3">
        <v>0.141848</v>
      </c>
    </row>
    <row r="53" spans="2:29" x14ac:dyDescent="0.25">
      <c r="B53" s="10" t="e">
        <f t="shared" si="0"/>
        <v>#N/A</v>
      </c>
      <c r="C53" t="s">
        <v>36</v>
      </c>
      <c r="D53" s="3">
        <v>4.9044999999999998E-2</v>
      </c>
      <c r="E53" s="3">
        <v>0.18153</v>
      </c>
      <c r="U53">
        <v>2021</v>
      </c>
      <c r="W53">
        <v>15</v>
      </c>
      <c r="X53">
        <v>0.16677900000000001</v>
      </c>
      <c r="Y53" s="3">
        <v>0.13721700000000001</v>
      </c>
    </row>
    <row r="54" spans="2:29" x14ac:dyDescent="0.25">
      <c r="B54" s="10" t="e">
        <f t="shared" si="0"/>
        <v>#N/A</v>
      </c>
      <c r="C54" t="s">
        <v>49</v>
      </c>
      <c r="D54" s="3">
        <v>2.8850000000000001E-2</v>
      </c>
      <c r="E54" s="3">
        <v>0.17694699999999999</v>
      </c>
      <c r="U54">
        <v>2021</v>
      </c>
      <c r="W54">
        <v>26</v>
      </c>
      <c r="X54">
        <v>0.17658399999999999</v>
      </c>
      <c r="Y54" s="3">
        <v>0.133829</v>
      </c>
    </row>
    <row r="55" spans="2:29" x14ac:dyDescent="0.25">
      <c r="B55" s="10" t="e">
        <f t="shared" si="0"/>
        <v>#N/A</v>
      </c>
      <c r="C55" t="s">
        <v>39</v>
      </c>
      <c r="D55" s="3">
        <v>3.4932999999999999E-2</v>
      </c>
      <c r="E55" s="3">
        <v>0.169904</v>
      </c>
      <c r="U55">
        <v>2021</v>
      </c>
      <c r="W55">
        <v>35</v>
      </c>
      <c r="X55">
        <v>0.15495200000000001</v>
      </c>
      <c r="Y55" s="3">
        <v>0.13373199999999999</v>
      </c>
    </row>
    <row r="56" spans="2:29" x14ac:dyDescent="0.25">
      <c r="B56" s="10" t="e">
        <f t="shared" si="0"/>
        <v>#N/A</v>
      </c>
      <c r="C56" t="s">
        <v>38</v>
      </c>
      <c r="D56" s="3">
        <v>2.3810000000000001E-2</v>
      </c>
      <c r="E56" s="3">
        <v>0.165074</v>
      </c>
      <c r="U56">
        <v>2021</v>
      </c>
      <c r="W56">
        <v>52</v>
      </c>
      <c r="X56">
        <v>0.17616899999999999</v>
      </c>
      <c r="Y56" s="3">
        <v>0.12986600000000001</v>
      </c>
    </row>
    <row r="57" spans="2:29" x14ac:dyDescent="0.25">
      <c r="B57" s="10" t="e">
        <f t="shared" si="0"/>
        <v>#N/A</v>
      </c>
      <c r="C57" t="s">
        <v>44</v>
      </c>
      <c r="D57" s="3">
        <v>3.2008000000000002E-2</v>
      </c>
      <c r="E57" s="3">
        <v>0.157638</v>
      </c>
      <c r="U57">
        <v>2021</v>
      </c>
      <c r="W57">
        <v>17</v>
      </c>
      <c r="X57">
        <v>0.162079</v>
      </c>
      <c r="Y57" s="3">
        <v>0.11887200000000001</v>
      </c>
    </row>
    <row r="58" spans="2:29" x14ac:dyDescent="0.25">
      <c r="B58" s="10" t="e">
        <f t="shared" si="0"/>
        <v>#N/A</v>
      </c>
      <c r="C58" t="s">
        <v>53</v>
      </c>
      <c r="D58" s="3">
        <v>4.5458999999999999E-2</v>
      </c>
      <c r="E58" s="3">
        <v>0.156836</v>
      </c>
      <c r="U58">
        <v>2021</v>
      </c>
      <c r="W58">
        <v>13</v>
      </c>
      <c r="X58">
        <v>0.13977300000000001</v>
      </c>
      <c r="Y58" s="3">
        <v>0.116697</v>
      </c>
    </row>
    <row r="59" spans="2:29" x14ac:dyDescent="0.25">
      <c r="B59" s="10" t="e">
        <f t="shared" si="0"/>
        <v>#N/A</v>
      </c>
      <c r="C59" t="s">
        <v>55</v>
      </c>
      <c r="D59" s="3">
        <v>3.6025000000000001E-2</v>
      </c>
      <c r="E59" s="3">
        <v>0.15407000000000001</v>
      </c>
      <c r="U59">
        <v>2021</v>
      </c>
      <c r="W59">
        <v>53</v>
      </c>
      <c r="X59">
        <v>0.144952</v>
      </c>
      <c r="Y59" s="3">
        <v>0.11360199999999999</v>
      </c>
    </row>
    <row r="60" spans="2:29" x14ac:dyDescent="0.25">
      <c r="B60" s="10" t="e">
        <f t="shared" si="0"/>
        <v>#N/A</v>
      </c>
      <c r="C60" t="s">
        <v>48</v>
      </c>
      <c r="D60" s="3">
        <v>2.3786000000000002E-2</v>
      </c>
      <c r="E60" s="3">
        <v>0.14827199999999999</v>
      </c>
      <c r="U60">
        <v>2021</v>
      </c>
      <c r="W60">
        <v>33</v>
      </c>
      <c r="X60">
        <v>0.129051</v>
      </c>
      <c r="Y60" s="3">
        <v>0.10137599999999999</v>
      </c>
    </row>
    <row r="61" spans="2:29" x14ac:dyDescent="0.25">
      <c r="B61" s="10" t="e">
        <f t="shared" si="0"/>
        <v>#N/A</v>
      </c>
      <c r="C61" t="s">
        <v>40</v>
      </c>
      <c r="D61" s="3">
        <v>2.2603999999999999E-2</v>
      </c>
      <c r="E61" s="3">
        <v>0.13978699999999999</v>
      </c>
      <c r="U61">
        <v>2021</v>
      </c>
      <c r="W61">
        <v>24</v>
      </c>
      <c r="X61">
        <v>0.13506399999999999</v>
      </c>
      <c r="Y61" s="3">
        <v>9.8198999999999995E-2</v>
      </c>
    </row>
    <row r="62" spans="2:29" x14ac:dyDescent="0.25">
      <c r="B62" s="10" t="e">
        <f t="shared" si="0"/>
        <v>#N/A</v>
      </c>
      <c r="C62" t="s">
        <v>35</v>
      </c>
      <c r="D62" s="3">
        <v>1.9016999999999999E-2</v>
      </c>
      <c r="E62" s="3">
        <v>0.13755999999999999</v>
      </c>
      <c r="U62">
        <v>2021</v>
      </c>
      <c r="W62">
        <v>25</v>
      </c>
      <c r="X62">
        <v>0.11278199999999999</v>
      </c>
      <c r="Y62" s="3">
        <v>8.3837999999999996E-2</v>
      </c>
    </row>
    <row r="63" spans="2:29" x14ac:dyDescent="0.25">
      <c r="B63" s="10" t="e">
        <f t="shared" si="0"/>
        <v>#N/A</v>
      </c>
      <c r="C63" t="s">
        <v>37</v>
      </c>
      <c r="D63" s="3">
        <v>1.4357E-2</v>
      </c>
      <c r="E63" s="3">
        <v>0.123642</v>
      </c>
      <c r="U63">
        <v>2021</v>
      </c>
      <c r="W63">
        <v>27</v>
      </c>
      <c r="X63">
        <v>0.10856399999999999</v>
      </c>
      <c r="Y63" s="3">
        <v>7.8381999999999993E-2</v>
      </c>
    </row>
    <row r="64" spans="2:29" x14ac:dyDescent="0.25">
      <c r="B64" s="10" t="e">
        <f t="shared" si="0"/>
        <v>#N/A</v>
      </c>
      <c r="C64" t="s">
        <v>54</v>
      </c>
      <c r="D64" s="3">
        <v>1.4437E-2</v>
      </c>
      <c r="E64" s="3">
        <v>8.4325999999999998E-2</v>
      </c>
      <c r="U64">
        <v>2021</v>
      </c>
      <c r="W64">
        <v>29</v>
      </c>
      <c r="X64">
        <v>8.3648E-2</v>
      </c>
      <c r="Y64" s="3">
        <v>6.9953000000000001E-2</v>
      </c>
    </row>
    <row r="65" spans="2:25" x14ac:dyDescent="0.25">
      <c r="B65" s="10" t="e">
        <f t="shared" si="0"/>
        <v>#N/A</v>
      </c>
      <c r="C65" t="s">
        <v>51</v>
      </c>
      <c r="D65" s="3">
        <v>1.0369E-2</v>
      </c>
      <c r="E65" s="3">
        <v>7.3245000000000005E-2</v>
      </c>
      <c r="U65">
        <v>2021</v>
      </c>
      <c r="W65">
        <v>50</v>
      </c>
      <c r="X65">
        <v>8.8544999999999999E-2</v>
      </c>
      <c r="Y65" s="3">
        <v>6.6692000000000001E-2</v>
      </c>
    </row>
    <row r="66" spans="2:25" x14ac:dyDescent="0.25">
      <c r="B66" s="10" t="e">
        <f t="shared" si="0"/>
        <v>#N/A</v>
      </c>
      <c r="C66" t="s">
        <v>50</v>
      </c>
      <c r="D66" s="3">
        <v>6.6299999999999996E-3</v>
      </c>
      <c r="E66" s="3">
        <v>5.5791E-2</v>
      </c>
      <c r="U66">
        <v>2021</v>
      </c>
      <c r="W66">
        <v>14</v>
      </c>
      <c r="X66">
        <v>1.2618000000000001E-2</v>
      </c>
      <c r="Y66" s="3">
        <v>9.4529999999999996E-3</v>
      </c>
    </row>
    <row r="67" spans="2:25" x14ac:dyDescent="0.25">
      <c r="B67" s="10" t="e">
        <f t="shared" si="0"/>
        <v>#N/A</v>
      </c>
      <c r="C67" t="s">
        <v>43</v>
      </c>
      <c r="D67" s="3">
        <v>4.633E-3</v>
      </c>
      <c r="E67" s="3">
        <v>3.8898000000000002E-2</v>
      </c>
    </row>
    <row r="68" spans="2:25" x14ac:dyDescent="0.25">
      <c r="B68" s="10" t="e">
        <f t="shared" si="0"/>
        <v>#N/A</v>
      </c>
      <c r="C68" t="s">
        <v>56</v>
      </c>
      <c r="D68" s="3">
        <v>5.4219999999999997E-3</v>
      </c>
      <c r="E68" s="3">
        <v>3.4928000000000001E-2</v>
      </c>
    </row>
  </sheetData>
  <autoFilter ref="U44:Y66" xr:uid="{00000000-0001-0000-0000-000000000000}">
    <sortState xmlns:xlrd2="http://schemas.microsoft.com/office/spreadsheetml/2017/richdata2" ref="U45:Y66">
      <sortCondition descending="1" ref="Y44:Y66"/>
    </sortState>
  </autoFilter>
  <mergeCells count="6">
    <mergeCell ref="K3:L3"/>
    <mergeCell ref="M3:M4"/>
    <mergeCell ref="N3:N4"/>
    <mergeCell ref="O3:O4"/>
    <mergeCell ref="P3:P4"/>
    <mergeCell ref="Q3:Q4"/>
  </mergeCells>
  <printOptions gridLines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B15048941705</dc:creator>
  <cp:lastModifiedBy>Marcson de Azevedo Araújo</cp:lastModifiedBy>
  <dcterms:created xsi:type="dcterms:W3CDTF">2025-07-16T17:26:54Z</dcterms:created>
  <dcterms:modified xsi:type="dcterms:W3CDTF">2025-11-27T20:50:28Z</dcterms:modified>
</cp:coreProperties>
</file>